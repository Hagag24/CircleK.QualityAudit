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Reports\Eng Mohamed\"/>
    </mc:Choice>
  </mc:AlternateContent>
  <xr:revisionPtr revIDLastSave="0" documentId="8_{A84D8FEB-17BD-4D93-891D-DB424209764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port" sheetId="2" r:id="rId1"/>
    <sheet name="Top Opportunities " sheetId="1" r:id="rId2"/>
  </sheets>
  <definedNames>
    <definedName name="_xlnm._FilterDatabase" localSheetId="1" hidden="1">'Top Opportunities '!$C$2:$D$2</definedName>
    <definedName name="_xlnm.Print_Area" localSheetId="0">Report!$A$1:$K$115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4" i="2" l="1"/>
  <c r="I15" i="2" s="1"/>
  <c r="D114" i="2"/>
  <c r="C114" i="2"/>
  <c r="D100" i="2"/>
  <c r="H14" i="2" s="1"/>
  <c r="C100" i="2"/>
  <c r="D88" i="2"/>
  <c r="F88" i="2" s="1"/>
  <c r="I13" i="2" s="1"/>
  <c r="C88" i="2"/>
  <c r="G13" i="2" s="1"/>
  <c r="D77" i="2"/>
  <c r="F77" i="2" s="1"/>
  <c r="I12" i="2" s="1"/>
  <c r="C77" i="2"/>
  <c r="F64" i="2"/>
  <c r="I11" i="2" s="1"/>
  <c r="D64" i="2"/>
  <c r="C64" i="2"/>
  <c r="D48" i="2"/>
  <c r="H10" i="2" s="1"/>
  <c r="C48" i="2"/>
  <c r="D41" i="2"/>
  <c r="F41" i="2" s="1"/>
  <c r="I9" i="2" s="1"/>
  <c r="C41" i="2"/>
  <c r="G9" i="2" s="1"/>
  <c r="D30" i="2"/>
  <c r="D115" i="2" s="1"/>
  <c r="C30" i="2"/>
  <c r="F30" i="2" s="1"/>
  <c r="I8" i="2" s="1"/>
  <c r="K16" i="2"/>
  <c r="C16" i="2"/>
  <c r="H15" i="2"/>
  <c r="G15" i="2"/>
  <c r="G14" i="2"/>
  <c r="H13" i="2"/>
  <c r="H12" i="2"/>
  <c r="G12" i="2"/>
  <c r="H11" i="2"/>
  <c r="G11" i="2"/>
  <c r="G10" i="2"/>
  <c r="H9" i="2"/>
  <c r="H8" i="2"/>
  <c r="G8" i="2"/>
  <c r="G16" i="2" s="1"/>
  <c r="H16" i="2" l="1"/>
  <c r="F100" i="2"/>
  <c r="I14" i="2" s="1"/>
  <c r="F48" i="2"/>
  <c r="I10" i="2" s="1"/>
  <c r="C115" i="2"/>
  <c r="F115" i="2" s="1"/>
  <c r="I16" i="2" s="1"/>
  <c r="C30" i="1" l="1"/>
  <c r="D30" i="1" s="1"/>
  <c r="C23" i="1"/>
  <c r="D23" i="1" s="1"/>
  <c r="C26" i="1"/>
  <c r="D26" i="1" s="1"/>
  <c r="C27" i="1"/>
  <c r="D27" i="1" s="1"/>
  <c r="C28" i="1"/>
  <c r="D28" i="1" s="1"/>
  <c r="C29" i="1"/>
  <c r="D29" i="1" s="1"/>
  <c r="C32" i="1"/>
  <c r="D32" i="1" s="1"/>
  <c r="C33" i="1"/>
  <c r="D33" i="1" s="1"/>
  <c r="C22" i="1"/>
  <c r="D22" i="1" s="1"/>
  <c r="C20" i="1"/>
  <c r="D20" i="1" s="1"/>
  <c r="C19" i="1"/>
  <c r="D19" i="1" s="1"/>
  <c r="C17" i="1"/>
  <c r="D17" i="1" s="1"/>
  <c r="C15" i="1"/>
  <c r="D15" i="1" s="1"/>
  <c r="C16" i="1"/>
  <c r="D16" i="1" s="1"/>
  <c r="C13" i="1"/>
  <c r="D13" i="1" s="1"/>
  <c r="C12" i="1"/>
  <c r="D12" i="1" s="1"/>
  <c r="C10" i="1"/>
  <c r="D10" i="1" s="1"/>
  <c r="C9" i="1"/>
  <c r="D9" i="1" s="1"/>
  <c r="C7" i="1"/>
  <c r="D7" i="1" s="1"/>
  <c r="C6" i="1"/>
  <c r="D6" i="1" s="1"/>
  <c r="C4" i="1"/>
  <c r="D4" i="1" s="1"/>
  <c r="C24" i="1" l="1"/>
  <c r="D24" i="1" s="1"/>
  <c r="D3" i="1"/>
  <c r="C3" i="1"/>
  <c r="I3" i="1"/>
  <c r="I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<sst xmlns="http://schemas.openxmlformats.org/spreadsheetml/2006/main" count="175" uniqueCount="157">
  <si>
    <t xml:space="preserve">Customer Service </t>
  </si>
  <si>
    <t>Barista</t>
  </si>
  <si>
    <t xml:space="preserve">Food </t>
  </si>
  <si>
    <t>Retail</t>
  </si>
  <si>
    <t>Maintenance</t>
  </si>
  <si>
    <t xml:space="preserve">Documents </t>
  </si>
  <si>
    <t>Not Applying FIFO</t>
  </si>
  <si>
    <t>Hygiene and Food Safety</t>
  </si>
  <si>
    <t xml:space="preserve">Expired Health Certifactes </t>
  </si>
  <si>
    <t xml:space="preserve">Pest infestation </t>
  </si>
  <si>
    <t xml:space="preserve">SECTION </t>
  </si>
  <si>
    <t>Branches</t>
  </si>
  <si>
    <t>No. of Branches</t>
  </si>
  <si>
    <t>%</t>
  </si>
  <si>
    <t xml:space="preserve">Training in store </t>
  </si>
  <si>
    <t>Existence of  a Training plan</t>
  </si>
  <si>
    <t>Unclear Expiration Data ( food &amp; barista )</t>
  </si>
  <si>
    <t xml:space="preserve">Maintenance Equipments ( Fridges - Barista Equipment-Food Equipment -Freezers- Frooster)  </t>
  </si>
  <si>
    <t xml:space="preserve">cleaning </t>
  </si>
  <si>
    <t>*</t>
  </si>
  <si>
    <t>Availabilty  Item food  (Hot Sandwich Materials - Pizza Materials- Breakfast Materials - Vegetables )</t>
  </si>
  <si>
    <t>Availabilty iso 9001 &amp;22000 Certificate</t>
  </si>
  <si>
    <t xml:space="preserve">Abuse of Health Certificates </t>
  </si>
  <si>
    <t xml:space="preserve">Uncovered And unclean baskets , pedle bin </t>
  </si>
  <si>
    <t>Availabilty condiment on Counter</t>
  </si>
  <si>
    <t>cleaning Facilities ( Seats and tables - Gandolas &amp; Stands-bathrooms- Retail Area Floor - Cleaning Tools- External Area- Improper Soap / Tissues Dispencers - Dry Storage- pedle bin)</t>
  </si>
  <si>
    <t>Maintenance Facilities (Walls Paints - Tables &amp; Seats - Lighting Spots-Breakage of Floor Tiles-In-Line Cabinets -Bathrooms -Ceiling-Logo &amp; Facade Walls -Air conditions-pedle bin )</t>
  </si>
  <si>
    <t>Expired Items ( food &amp; barista )</t>
  </si>
  <si>
    <t>Expired Items ( Retail)</t>
  </si>
  <si>
    <t xml:space="preserve">Availability of Barista Materials </t>
  </si>
  <si>
    <t>CIS form Not updated</t>
  </si>
  <si>
    <t xml:space="preserve">Price label is not updated &amp; product facing </t>
  </si>
  <si>
    <t>Cleaning Equipments &amp; operation tools  ( food - barista )</t>
  </si>
  <si>
    <t xml:space="preserve">Product quality doesn't meet standard </t>
  </si>
  <si>
    <t>Post Activity Completion</t>
  </si>
  <si>
    <t>Sending Quality action plan</t>
  </si>
  <si>
    <t xml:space="preserve">Missing or  non update checklist ( Branch  -briefing- food - barista- Tempratures ) , Employee file &amp; Cleaning table </t>
  </si>
  <si>
    <t>Quality Audit Report</t>
  </si>
  <si>
    <t xml:space="preserve">القسم </t>
  </si>
  <si>
    <t xml:space="preserve">الدرجات </t>
  </si>
  <si>
    <t xml:space="preserve">الفعلي </t>
  </si>
  <si>
    <t xml:space="preserve">سرعه الخدمه </t>
  </si>
  <si>
    <t>اسم الفرع :</t>
  </si>
  <si>
    <t xml:space="preserve">سلامة الغذاء </t>
  </si>
  <si>
    <t>التاريخ</t>
  </si>
  <si>
    <t xml:space="preserve">جودة المنتج </t>
  </si>
  <si>
    <t>الوقت</t>
  </si>
  <si>
    <t xml:space="preserve">العاملين </t>
  </si>
  <si>
    <t>مدير الفرع</t>
  </si>
  <si>
    <t xml:space="preserve">خدمة العملاء </t>
  </si>
  <si>
    <t xml:space="preserve">مدير المنطقة </t>
  </si>
  <si>
    <t>الصيانة</t>
  </si>
  <si>
    <t xml:space="preserve">مدير التشغيل </t>
  </si>
  <si>
    <t>النظافة العامة</t>
  </si>
  <si>
    <t>عدد الموظفين اثناء الزيارة</t>
  </si>
  <si>
    <t xml:space="preserve">إدارة الفرع </t>
  </si>
  <si>
    <t>اجمالى عدد الموظفين فى الفرع</t>
  </si>
  <si>
    <t>التدريب</t>
  </si>
  <si>
    <t xml:space="preserve">إجمالي عدد النقاط الحرجة </t>
  </si>
  <si>
    <t xml:space="preserve">الاجمالي </t>
  </si>
  <si>
    <t>#</t>
  </si>
  <si>
    <t>WOP</t>
  </si>
  <si>
    <t>Yes / No</t>
  </si>
  <si>
    <t>N.A</t>
  </si>
  <si>
    <t>الملاحظات</t>
  </si>
  <si>
    <t>يقوم جميع العاملين بغسيل الايدى كل ساعه وعند الاحتياج  ويتم ارتداء جوانتى عند ملامسة المنتجات الجاهزة  .</t>
  </si>
  <si>
    <t>الشهادات الصحية لجميع الموظفين بالفرع متاحة وسارية .</t>
  </si>
  <si>
    <t xml:space="preserve"> الفرع خالى من الحشرات والقوارض .</t>
  </si>
  <si>
    <t xml:space="preserve">التحكم بدرجات الحرارة ( المعدات - المنتجات) ، خارج منطقه الخطر  ( 5 - 63 ) م </t>
  </si>
  <si>
    <t xml:space="preserve">لايوجد منتجات منتهيه الصلاحيه </t>
  </si>
  <si>
    <t xml:space="preserve">جميع المنتجات والاصناف المستخدمه معتمده طبقا لقائمة الموردين المعتمدين </t>
  </si>
  <si>
    <t xml:space="preserve">تجنب التلوث العكسي في جميع الخطوات التشغيلية </t>
  </si>
  <si>
    <t>جميع المنتجات خالية من مصادر التلوث ( الفيزيائي ، الكيميائي ، البيولوجي )</t>
  </si>
  <si>
    <t xml:space="preserve">جميع البلوعات مغلقه ولا يوجد تسريب او تدفق عكسي لمياه الصرف </t>
  </si>
  <si>
    <t xml:space="preserve">جميع المنظفات والمعقمات معتمدة ويتم العمل بها بالفرع </t>
  </si>
  <si>
    <t>مجموع درجات سلامة الغذاء</t>
  </si>
  <si>
    <t>جودة المنتج</t>
  </si>
  <si>
    <t>جميع معدات الطعام والمشروبات الباردة والساخنة نظيفة و بحالة جيدة</t>
  </si>
  <si>
    <t xml:space="preserve">جميع أدوات الطعام والمشروبات بحالة جيدة </t>
  </si>
  <si>
    <t>جميع وحدات تخزين المواد الخام مرتبة ونظيفة</t>
  </si>
  <si>
    <t>يتم نظافة السوفتنر وفلاتر المياة بصورة دورية.</t>
  </si>
  <si>
    <t xml:space="preserve">تاريخ الفتح يجب ان يكون واضح لكل المنتجات ولا يتم تجديد الصلاحية لاي منتج بعد انتهائها (لا يتم اعادة تدوير المنتجات ) </t>
  </si>
  <si>
    <t xml:space="preserve">يجب اتباع خطوات تحضير المنتجات والمشروبات طبقا لإجراءات التشغيل المعتمدة من الإدارة </t>
  </si>
  <si>
    <t xml:space="preserve">وحدات عرض المنتجات على الكاونتر نظيفة وبحالة جيدة . </t>
  </si>
  <si>
    <t>يتم عرض المنتجات فى وحدات العرض المختلفة وفقا للبلانوجرام المعتمد و بناءا على معايير FIFO.</t>
  </si>
  <si>
    <t>جميع أصناف المخبوزات المعروضة في الكابينة طازجة وبجودة عالية وطبقا لجدول الخبز اليومي</t>
  </si>
  <si>
    <t>مجموع درجات  جودة المنتج</t>
  </si>
  <si>
    <t xml:space="preserve">جميع العاملين ملتزمون بزى العمل الموحدة و المظهر العام . </t>
  </si>
  <si>
    <t>التزام العاملين بمعايير النظافة الشخصية ( عدم ارتداء اي اكسسوارات - اظافر قصيرة - تغطية الشعر - .......)</t>
  </si>
  <si>
    <t>لا يوجد دليل على مرض الموظفين (اعراض برد ، كحه ، رشح ، إصابة بجروح .....إلخ) في العمل</t>
  </si>
  <si>
    <t xml:space="preserve">لا يتم  تخزين اي متعلقات شخصيه في مناطق تداول الغذاء ويتم الاحتفاظ بها في الاماكن المخصصة </t>
  </si>
  <si>
    <t xml:space="preserve">التدخين و تناول الطعام في المناطق المخصصة </t>
  </si>
  <si>
    <t xml:space="preserve">مجموع درجات العاملين </t>
  </si>
  <si>
    <t xml:space="preserve"> خدمة العملاء </t>
  </si>
  <si>
    <t>الجو العام جيد و مشغل الاغاني و جهاز المعطر يعملوا بكفاءة .</t>
  </si>
  <si>
    <t>جميع شاشات العرض ومواد الدعاية متاحة وبحالة جيدة.</t>
  </si>
  <si>
    <t>الاسعار لجميع الاصناف المعروضة على الجناديل والاستاندات والبساكت والترانزاكشن وثلاجات العرض متاحة وحديثة وبحالة جيدة.</t>
  </si>
  <si>
    <t>يتم اعادة تعبئة الجناديل وثلاجات العرض والاستاندات باستمرار .</t>
  </si>
  <si>
    <t xml:space="preserve">يجب اتباع خطوات الخدمة من موظف الكاشير  طبقا للمعايير وبطريقة صحيحة </t>
  </si>
  <si>
    <t xml:space="preserve">الموظف قادر على التواصل الجيد مع العملاء وفهم متطلباتهم و التعامل مع الشكاوي بطريقة صحيحة </t>
  </si>
  <si>
    <t xml:space="preserve">جميع معدات الخدمة ( POS ، VISA ، Printer ) متاحة وبحالة جيدة </t>
  </si>
  <si>
    <t xml:space="preserve">يجب الا تزيد مدة الخدمة لاصناف الطعام عن 15 دقيقة ، ولاصناف المشروبات 5 دقائق </t>
  </si>
  <si>
    <t>التأكد من تجهيز طلبات التوصيل عن طريق مقدمي الخدمة ومطابقتها للمرسل وانهائها في الوقت المحدد</t>
  </si>
  <si>
    <t>دسبنسرات المناديل والسكريات على الطاولات والكاونتر معبئة ونظيفة وبحالة جيدة .</t>
  </si>
  <si>
    <t xml:space="preserve">جميع انواع (الكوندمينت&amp;البدارات&amp;الكفرات&amp;الهولدرات) متاحة على كونتر العملاء . </t>
  </si>
  <si>
    <t>شهادات الايزو متاحة على الكونتر ومحدثة وبحالة جيدة .</t>
  </si>
  <si>
    <t xml:space="preserve">جميع اصناف المنيو متوافره بالفرع </t>
  </si>
  <si>
    <t xml:space="preserve">يتم خدمه العملاء بخدمه السيارات بود وترحاب ويتم خدمه الطلب بسرعه </t>
  </si>
  <si>
    <t>مجموع درجات خدمة العملاء</t>
  </si>
  <si>
    <t>جميع الحوائط و الارضيات و بلاط السقف والابواب والشبابيك والاسطح داخل وخارج الفرع بحالة جيدة .</t>
  </si>
  <si>
    <t>جميع لوحات وبوكسات الكهرباء و الكشافات بحالة جيدة .</t>
  </si>
  <si>
    <t xml:space="preserve">مرافق المياه والصرف الصحي تعمل بشكل صحيح و بحالة جيدة . </t>
  </si>
  <si>
    <t>اجهزه التكييف وستارة الهواء تعمل بكفاءة ويتم ضبطها على درجة حرارة 24 م .</t>
  </si>
  <si>
    <t>جميع دورات المياة (سيدات -رجال ) بحالة جيدة وتعمل بكفاءة .</t>
  </si>
  <si>
    <t>الفاير سيستيم و جميع طفايات الحريق متاحة بعدد كافى و بحالة جيدة وتعمل بكفاءة .</t>
  </si>
  <si>
    <t>لا يوجد مصدر خطر لسلامه العملاء</t>
  </si>
  <si>
    <t xml:space="preserve">جميع معدات الطعام والمشروبات الباردة والساخنة تعمل بكفاءة </t>
  </si>
  <si>
    <t>جميع الجناديل (مرايات الجناديل &amp; شلفات اسعار &amp; مساطر ) والاستندات بحالة جيدة .</t>
  </si>
  <si>
    <t>جميع وحدات التخزين فى الفرع بحالة جيدة .</t>
  </si>
  <si>
    <t>منطقه خدمه السيارات( خط السير- المنيو- السماعات - الارضيات - الحوائط) تعمل وبحاله جيده</t>
  </si>
  <si>
    <t xml:space="preserve">مجموع درجات الصيانة </t>
  </si>
  <si>
    <t xml:space="preserve">النظافة العامة </t>
  </si>
  <si>
    <t xml:space="preserve">المواد الكيميائيه مخزنه في حاويات سليمه بعيدا عن المواد الغذائية  بمسافة لا تقل عن 30 سم </t>
  </si>
  <si>
    <t xml:space="preserve">معدات التنظيف نظيفة وفي حالة جيدة و يتم تخزينها في مكان مخصص بعيدا عن أنظار العملاء </t>
  </si>
  <si>
    <t>نظافة جميع دورات المياه و جميع دسبنسرات الصابون الشاور ومناديل السحب فى الحمامات معبئة ونظيفة وبحالة جيدة,ويتم متابعه سجل النظافه دورات المياه</t>
  </si>
  <si>
    <t xml:space="preserve">نظافة بلاط السقف وهوايات التكييف و ستائر الهواء والحوائط داخل الفرع . </t>
  </si>
  <si>
    <t>نظافة الارضيات فى صالة العملاء واسفل الجناديل والاركان.</t>
  </si>
  <si>
    <t>جميع الجناديل والاستاندات والبساكت ووحدات عرض المنتجات نظيفة</t>
  </si>
  <si>
    <t>نظافة المنطقة الخارجية ( الرصيف ، واحواض الزرع ، الزرع الصناعى، الواجهة ، الشماسي ، الكراسي والطاولات ،........)</t>
  </si>
  <si>
    <t>جميع سلات القمامة داخل وخارج الفرع نظيفة وبحالة جيدة.</t>
  </si>
  <si>
    <t>منطقه خدمه السيارات( خط السير- المنيو- السماعات - الارضيات - الحوائط) نظيفه وبحاله جيده</t>
  </si>
  <si>
    <t xml:space="preserve">مجموع درجات النظافة العامة </t>
  </si>
  <si>
    <t>جميع المواد الخام والمنتجات الجاهزة متاحة بالفرع .</t>
  </si>
  <si>
    <t xml:space="preserve">جميع مواد التعبئة والتغليف متاحة بالفرع </t>
  </si>
  <si>
    <t xml:space="preserve"> قائمة فحص الفرع و قسم الطعام و قسم المشروبات و محدثة كل وردية  ,مع الاحتفاظ باخر 3 اشهر   </t>
  </si>
  <si>
    <t xml:space="preserve">سجل متابعة درجات الحرارة  مفعل مع تسجيل درجات الحرارة بطريقة صحيحة ودقيقة   مع الاحتفاظ باخر 3 اشهر   </t>
  </si>
  <si>
    <t xml:space="preserve">تحديث سجل CIS يوميا </t>
  </si>
  <si>
    <t xml:space="preserve">جدول النظافة محدث ومفعل - يتم الاحتفاظ باخر 3 اشهر </t>
  </si>
  <si>
    <t xml:space="preserve">الاحتفاظ بتقارير الصيانة الدورية </t>
  </si>
  <si>
    <t xml:space="preserve">يقوم كل مدير الورديه بالاجتماع بموظفى الورديه بمناقشه ( اهداف الورديه- الاهداف الشهريه -خطه المبيعات - العروض- الاصناف البيعيه الجديدة ......) مع التوثيق والاحتفاظ ب 3 اشهر </t>
  </si>
  <si>
    <t>الاحتفاظ بتقارير زيارات شركة مكافحة الآفات والاحتفاظ ب 3 اشهر كمرجع</t>
  </si>
  <si>
    <t xml:space="preserve">ارسال خطة العمل بعد زيارات الجودة في خلال 48 ساعة مع ارفاق الصور والاحتفاظ بنسخه مطبوعه بالفرع والاحتفاظ ب 3 اشهر </t>
  </si>
  <si>
    <t xml:space="preserve">مجموع درجات إدارة الفرع </t>
  </si>
  <si>
    <t xml:space="preserve">خطه التدريب الشهريه محدثه ويتم الاحتفاظ بنسخه مطبوعه في مكان ظاهر للمدراء والموظفين </t>
  </si>
  <si>
    <t xml:space="preserve">يتم استقبال الموظفين الجدد والترحيب بهم وتعرفهم بالزملاء وجداول العمل وشرح سياسات العمل الداخليه </t>
  </si>
  <si>
    <t xml:space="preserve">جميع الموظفين يتم تدريبهم على كل محطات العمل بحد اقصي 4 اشهر من تاريخ التعين </t>
  </si>
  <si>
    <t xml:space="preserve">مدراء الافرع والمشرفين يشاركون بمهام التدريب الشهريه </t>
  </si>
  <si>
    <t>يتم استكمال انشطه مابعد التدريب ( الخاصه بدورات اداره التدريب) ويتم حفظها بملف الموظف Post Training Activites</t>
  </si>
  <si>
    <t xml:space="preserve">يتم استكمال المهام التدريبيه الشهريه الموكله للعاملين طبقا للخطه وبحد اقصى يوم 22 من كل شهر </t>
  </si>
  <si>
    <t xml:space="preserve">ملف الموظف محدث ( الاختبارات الشهريه - التقيم العملى - الدورات التدريبيه ) لكل موظفي الفرع </t>
  </si>
  <si>
    <t xml:space="preserve">جميع موظفى الفرع تم تدريبهم على ( خدمه العملاء - سلامه الغذاء) بحد اقصى 3 اشهر من التعين </t>
  </si>
  <si>
    <t xml:space="preserve">الكاشير - الويتر قادر على تاديه عمله بفاعليه ويطبق معاير التشغيل </t>
  </si>
  <si>
    <t xml:space="preserve">الشيف ومسؤل الاغذيه قادر على تاديه عمله بفاعليه ويطبق معاير التشغيل </t>
  </si>
  <si>
    <t xml:space="preserve">الباريستا   قادر على تاديه عمله بفاعليه ويطبق معاير التشغيل </t>
  </si>
  <si>
    <t xml:space="preserve">يتم تدريب حميع العاملين  والمدراء والمشرفين على الاصناف الجديده </t>
  </si>
  <si>
    <t xml:space="preserve">مجموع درجات التدريب </t>
  </si>
  <si>
    <t xml:space="preserve">إجمالي مجموع الدرجات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</si>
</sst>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h:mm\ AM/PM;@"/>
    <numFmt numFmtId="166" formatCode="h:mm;@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sz val="11"/>
      <color theme="1"/>
      <name val="Tahoma"/>
      <family val="2"/>
    </font>
    <font>
      <sz val="12"/>
      <color theme="1"/>
      <name val="Tahoma"/>
      <family val="2"/>
    </font>
    <font>
      <b/>
      <sz val="11"/>
      <color rgb="FF212121"/>
      <name val="Tahoma"/>
      <family val="2"/>
    </font>
    <font>
      <sz val="11"/>
      <color rgb="FF000000"/>
      <name val="Tahoma"/>
      <family val="2"/>
    </font>
    <font>
      <sz val="10"/>
      <name val="Tahoma"/>
      <family val="2"/>
    </font>
    <font>
      <b/>
      <sz val="48"/>
      <color theme="1"/>
      <name val="Corbel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Tahoma"/>
      <family val="2"/>
    </font>
    <font>
      <b/>
      <sz val="12"/>
      <name val="Calibri"/>
      <family val="2"/>
      <scheme val="minor"/>
    </font>
    <font>
      <b/>
      <sz val="12"/>
      <color theme="9" tint="-0.499984740745262"/>
      <name val="Tahoma"/>
      <family val="2"/>
    </font>
    <font>
      <b/>
      <sz val="9"/>
      <name val="Tahoma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rgb="FF00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FFFFFF"/>
      </patternFill>
    </fill>
    <fill>
      <patternFill patternType="solid">
        <fgColor rgb="FFFFCC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9900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5" borderId="0" applyNumberFormat="0" applyBorder="0" applyAlignment="0" applyProtection="0"/>
  </cellStyleXfs>
  <cellXfs count="15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8" fillId="0" borderId="1" xfId="0" applyFont="1" applyBorder="1"/>
    <xf numFmtId="0" fontId="3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14" fontId="10" fillId="2" borderId="2" xfId="0" applyNumberFormat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2" fillId="6" borderId="1" xfId="2" applyFont="1" applyFill="1" applyBorder="1" applyAlignment="1">
      <alignment horizontal="right" vertical="center"/>
    </xf>
    <xf numFmtId="0" fontId="12" fillId="6" borderId="1" xfId="2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3" fillId="2" borderId="0" xfId="2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right" vertical="center" indent="5"/>
    </xf>
    <xf numFmtId="0" fontId="14" fillId="2" borderId="1" xfId="0" applyFont="1" applyFill="1" applyBorder="1" applyAlignment="1">
      <alignment horizontal="center" vertical="center"/>
    </xf>
    <xf numFmtId="9" fontId="16" fillId="2" borderId="1" xfId="1" applyFont="1" applyFill="1" applyBorder="1" applyAlignment="1">
      <alignment horizontal="center" vertical="center"/>
    </xf>
    <xf numFmtId="9" fontId="17" fillId="2" borderId="0" xfId="1" applyFont="1" applyFill="1" applyBorder="1" applyAlignment="1">
      <alignment horizontal="center" vertical="center"/>
    </xf>
    <xf numFmtId="20" fontId="18" fillId="2" borderId="1" xfId="0" applyNumberFormat="1" applyFont="1" applyFill="1" applyBorder="1" applyAlignment="1" applyProtection="1">
      <alignment horizontal="center"/>
      <protection locked="0"/>
    </xf>
    <xf numFmtId="164" fontId="10" fillId="2" borderId="1" xfId="0" applyNumberFormat="1" applyFont="1" applyFill="1" applyBorder="1" applyAlignment="1" applyProtection="1">
      <alignment horizontal="center" vertical="center"/>
      <protection locked="0"/>
    </xf>
    <xf numFmtId="165" fontId="10" fillId="2" borderId="1" xfId="0" applyNumberFormat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>
      <alignment horizontal="center" vertical="center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0" fontId="12" fillId="6" borderId="3" xfId="2" applyFont="1" applyFill="1" applyBorder="1" applyAlignment="1">
      <alignment vertical="center"/>
    </xf>
    <xf numFmtId="0" fontId="12" fillId="6" borderId="3" xfId="2" applyFont="1" applyFill="1" applyBorder="1" applyAlignment="1" applyProtection="1">
      <alignment horizontal="center" vertical="center"/>
    </xf>
    <xf numFmtId="9" fontId="12" fillId="6" borderId="1" xfId="2" applyNumberFormat="1" applyFont="1" applyFill="1" applyBorder="1" applyAlignment="1">
      <alignment horizontal="center" vertical="center"/>
    </xf>
    <xf numFmtId="9" fontId="19" fillId="2" borderId="0" xfId="2" applyNumberFormat="1" applyFont="1" applyFill="1" applyBorder="1" applyAlignment="1">
      <alignment horizontal="center" vertical="center"/>
    </xf>
    <xf numFmtId="166" fontId="12" fillId="6" borderId="1" xfId="2" applyNumberFormat="1" applyFont="1" applyFill="1" applyBorder="1" applyAlignment="1">
      <alignment horizontal="center" vertical="center"/>
    </xf>
    <xf numFmtId="0" fontId="0" fillId="7" borderId="0" xfId="0" applyFill="1"/>
    <xf numFmtId="0" fontId="20" fillId="6" borderId="3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 wrapText="1"/>
    </xf>
    <xf numFmtId="0" fontId="22" fillId="8" borderId="5" xfId="0" applyFont="1" applyFill="1" applyBorder="1" applyAlignment="1">
      <alignment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vertical="center"/>
    </xf>
    <xf numFmtId="0" fontId="23" fillId="8" borderId="6" xfId="0" applyFont="1" applyFill="1" applyBorder="1" applyAlignment="1">
      <alignment vertical="center"/>
    </xf>
    <xf numFmtId="0" fontId="23" fillId="8" borderId="6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24" fillId="2" borderId="7" xfId="0" applyFont="1" applyFill="1" applyBorder="1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4" fillId="0" borderId="5" xfId="0" applyFont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25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9" fontId="12" fillId="6" borderId="1" xfId="1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right" vertical="center" wrapText="1"/>
    </xf>
    <xf numFmtId="0" fontId="23" fillId="8" borderId="12" xfId="0" applyFont="1" applyFill="1" applyBorder="1" applyAlignment="1">
      <alignment horizontal="center" vertical="center"/>
    </xf>
    <xf numFmtId="0" fontId="23" fillId="8" borderId="13" xfId="0" applyFont="1" applyFill="1" applyBorder="1" applyAlignment="1">
      <alignment vertical="center"/>
    </xf>
    <xf numFmtId="0" fontId="23" fillId="8" borderId="8" xfId="0" applyFont="1" applyFill="1" applyBorder="1" applyAlignment="1">
      <alignment horizontal="center" vertical="center"/>
    </xf>
    <xf numFmtId="0" fontId="23" fillId="8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24" fillId="2" borderId="0" xfId="0" applyFont="1" applyFill="1" applyAlignment="1">
      <alignment horizontal="right" vertical="center" wrapText="1"/>
    </xf>
    <xf numFmtId="0" fontId="26" fillId="10" borderId="5" xfId="0" applyFont="1" applyFill="1" applyBorder="1" applyAlignment="1">
      <alignment horizontal="right" vertical="top" wrapText="1" readingOrder="2"/>
    </xf>
    <xf numFmtId="0" fontId="24" fillId="2" borderId="5" xfId="0" applyFont="1" applyFill="1" applyBorder="1" applyAlignment="1">
      <alignment horizontal="right" vertical="top" wrapText="1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 applyProtection="1">
      <alignment horizontal="center" vertical="center"/>
      <protection locked="0"/>
    </xf>
    <xf numFmtId="0" fontId="24" fillId="9" borderId="5" xfId="0" applyFont="1" applyFill="1" applyBorder="1" applyAlignment="1">
      <alignment horizontal="right" vertical="top" wrapText="1"/>
    </xf>
    <xf numFmtId="0" fontId="25" fillId="8" borderId="0" xfId="0" applyFont="1" applyFill="1" applyAlignment="1">
      <alignment horizontal="right" vertical="center" wrapText="1"/>
    </xf>
    <xf numFmtId="0" fontId="23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vertical="center"/>
    </xf>
    <xf numFmtId="0" fontId="26" fillId="2" borderId="5" xfId="0" applyFont="1" applyFill="1" applyBorder="1" applyAlignment="1">
      <alignment horizontal="right" vertical="top" wrapText="1" readingOrder="2"/>
    </xf>
    <xf numFmtId="0" fontId="26" fillId="2" borderId="9" xfId="0" applyFont="1" applyFill="1" applyBorder="1" applyAlignment="1">
      <alignment horizontal="right" vertical="top" wrapText="1" readingOrder="2"/>
    </xf>
    <xf numFmtId="0" fontId="26" fillId="2" borderId="9" xfId="0" applyFont="1" applyFill="1" applyBorder="1" applyAlignment="1">
      <alignment horizontal="right" vertical="center" wrapText="1" readingOrder="2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25" fillId="6" borderId="0" xfId="0" applyFont="1" applyFill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9" fontId="12" fillId="6" borderId="15" xfId="1" applyFont="1" applyFill="1" applyBorder="1" applyAlignment="1">
      <alignment horizontal="center" vertical="center"/>
    </xf>
    <xf numFmtId="9" fontId="12" fillId="6" borderId="17" xfId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12" fillId="8" borderId="0" xfId="0" applyFont="1" applyFill="1" applyAlignment="1">
      <alignment horizontal="center" vertical="center"/>
    </xf>
    <xf numFmtId="9" fontId="12" fillId="8" borderId="0" xfId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3" fillId="9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24" fillId="11" borderId="5" xfId="0" applyFont="1" applyFill="1" applyBorder="1" applyAlignment="1">
      <alignment horizontal="right" vertical="top" wrapText="1"/>
    </xf>
    <xf numFmtId="0" fontId="3" fillId="12" borderId="1" xfId="0" applyFont="1" applyFill="1" applyBorder="1" applyAlignment="1">
      <alignment horizontal="left"/>
    </xf>
    <xf numFmtId="0" fontId="24" fillId="12" borderId="5" xfId="0" applyFont="1" applyFill="1" applyBorder="1" applyAlignment="1">
      <alignment horizontal="right" vertical="top" wrapText="1"/>
    </xf>
    <xf numFmtId="0" fontId="3" fillId="13" borderId="1" xfId="0" applyFont="1" applyFill="1" applyBorder="1" applyAlignment="1">
      <alignment horizontal="left"/>
    </xf>
    <xf numFmtId="0" fontId="24" fillId="13" borderId="5" xfId="0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left"/>
    </xf>
    <xf numFmtId="0" fontId="24" fillId="6" borderId="5" xfId="0" applyFont="1" applyFill="1" applyBorder="1" applyAlignment="1">
      <alignment horizontal="right" vertical="top" wrapText="1"/>
    </xf>
    <xf numFmtId="0" fontId="3" fillId="14" borderId="1" xfId="0" applyFont="1" applyFill="1" applyBorder="1" applyAlignment="1">
      <alignment horizontal="left"/>
    </xf>
    <xf numFmtId="0" fontId="24" fillId="14" borderId="5" xfId="0" applyFont="1" applyFill="1" applyBorder="1" applyAlignment="1">
      <alignment horizontal="right" vertical="top" wrapText="1"/>
    </xf>
    <xf numFmtId="0" fontId="24" fillId="15" borderId="5" xfId="0" applyFont="1" applyFill="1" applyBorder="1" applyAlignment="1">
      <alignment horizontal="right" vertical="top" wrapText="1"/>
    </xf>
    <xf numFmtId="0" fontId="3" fillId="15" borderId="1" xfId="0" applyFont="1" applyFill="1" applyBorder="1" applyAlignment="1">
      <alignment horizontal="left"/>
    </xf>
    <xf numFmtId="0" fontId="3" fillId="16" borderId="1" xfId="0" applyFont="1" applyFill="1" applyBorder="1" applyAlignment="1">
      <alignment horizontal="left"/>
    </xf>
    <xf numFmtId="0" fontId="24" fillId="16" borderId="5" xfId="0" applyFont="1" applyFill="1" applyBorder="1" applyAlignment="1">
      <alignment horizontal="right" vertical="top" wrapText="1"/>
    </xf>
    <xf numFmtId="0" fontId="3" fillId="17" borderId="1" xfId="0" applyFont="1" applyFill="1" applyBorder="1" applyAlignment="1">
      <alignment horizontal="left"/>
    </xf>
    <xf numFmtId="0" fontId="24" fillId="17" borderId="5" xfId="0" applyFont="1" applyFill="1" applyBorder="1" applyAlignment="1">
      <alignment horizontal="right" vertical="center" wrapText="1"/>
    </xf>
    <xf numFmtId="0" fontId="3" fillId="18" borderId="1" xfId="0" applyFont="1" applyFill="1" applyBorder="1" applyAlignment="1">
      <alignment horizontal="left"/>
    </xf>
    <xf numFmtId="0" fontId="24" fillId="18" borderId="5" xfId="0" applyFont="1" applyFill="1" applyBorder="1" applyAlignment="1">
      <alignment horizontal="righ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26" fillId="20" borderId="7" xfId="0" applyFont="1" applyFill="1" applyBorder="1" applyAlignment="1">
      <alignment horizontal="right" vertical="top" wrapText="1" readingOrder="2"/>
    </xf>
    <xf numFmtId="0" fontId="24" fillId="19" borderId="5" xfId="0" applyFont="1" applyFill="1" applyBorder="1" applyAlignment="1">
      <alignment horizontal="right" vertical="top" wrapText="1"/>
    </xf>
    <xf numFmtId="0" fontId="3" fillId="21" borderId="1" xfId="0" applyFont="1" applyFill="1" applyBorder="1" applyAlignment="1">
      <alignment horizontal="left" wrapText="1"/>
    </xf>
    <xf numFmtId="0" fontId="26" fillId="21" borderId="5" xfId="0" applyFont="1" applyFill="1" applyBorder="1" applyAlignment="1">
      <alignment horizontal="right" vertical="top" wrapText="1" readingOrder="2"/>
    </xf>
    <xf numFmtId="0" fontId="3" fillId="22" borderId="1" xfId="0" applyFont="1" applyFill="1" applyBorder="1" applyAlignment="1">
      <alignment horizontal="left" vertical="center" wrapText="1"/>
    </xf>
    <xf numFmtId="0" fontId="26" fillId="22" borderId="5" xfId="0" applyFont="1" applyFill="1" applyBorder="1" applyAlignment="1">
      <alignment horizontal="right" vertical="top" wrapText="1" readingOrder="2"/>
    </xf>
    <xf numFmtId="0" fontId="3" fillId="23" borderId="1" xfId="0" applyFont="1" applyFill="1" applyBorder="1" applyAlignment="1">
      <alignment horizontal="left"/>
    </xf>
    <xf numFmtId="0" fontId="24" fillId="23" borderId="5" xfId="0" applyFont="1" applyFill="1" applyBorder="1" applyAlignment="1">
      <alignment horizontal="right" vertical="center" wrapText="1"/>
    </xf>
    <xf numFmtId="0" fontId="3" fillId="24" borderId="1" xfId="0" applyFont="1" applyFill="1" applyBorder="1" applyAlignment="1">
      <alignment horizontal="left"/>
    </xf>
    <xf numFmtId="0" fontId="24" fillId="24" borderId="5" xfId="0" applyFont="1" applyFill="1" applyBorder="1" applyAlignment="1">
      <alignment horizontal="right" vertical="center" wrapText="1"/>
    </xf>
    <xf numFmtId="0" fontId="24" fillId="25" borderId="5" xfId="0" applyFont="1" applyFill="1" applyBorder="1" applyAlignment="1">
      <alignment horizontal="right" vertical="top" wrapText="1"/>
    </xf>
    <xf numFmtId="0" fontId="3" fillId="25" borderId="1" xfId="0" applyFont="1" applyFill="1" applyBorder="1" applyAlignment="1">
      <alignment horizontal="left"/>
    </xf>
    <xf numFmtId="0" fontId="3" fillId="26" borderId="1" xfId="0" applyFont="1" applyFill="1" applyBorder="1" applyAlignment="1">
      <alignment horizontal="left" wrapText="1"/>
    </xf>
    <xf numFmtId="0" fontId="24" fillId="26" borderId="5" xfId="0" applyFont="1" applyFill="1" applyBorder="1" applyAlignment="1">
      <alignment horizontal="right" vertical="center" wrapText="1"/>
    </xf>
    <xf numFmtId="0" fontId="24" fillId="26" borderId="5" xfId="0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left" wrapText="1"/>
    </xf>
    <xf numFmtId="0" fontId="24" fillId="27" borderId="5" xfId="0" applyFont="1" applyFill="1" applyBorder="1" applyAlignment="1">
      <alignment horizontal="right" vertical="top" wrapText="1"/>
    </xf>
    <xf numFmtId="0" fontId="3" fillId="8" borderId="1" xfId="0" applyFont="1" applyFill="1" applyBorder="1" applyAlignment="1">
      <alignment horizontal="left"/>
    </xf>
    <xf numFmtId="0" fontId="24" fillId="8" borderId="5" xfId="0" applyFont="1" applyFill="1" applyBorder="1" applyAlignment="1">
      <alignment horizontal="right" vertical="top" wrapText="1"/>
    </xf>
    <xf numFmtId="0" fontId="3" fillId="28" borderId="1" xfId="0" applyFont="1" applyFill="1" applyBorder="1" applyAlignment="1">
      <alignment horizontal="left"/>
    </xf>
    <xf numFmtId="0" fontId="24" fillId="28" borderId="5" xfId="0" applyFont="1" applyFill="1" applyBorder="1" applyAlignment="1">
      <alignment horizontal="right" vertical="top" wrapText="1"/>
    </xf>
  </cellXfs>
  <cellStyles count="3">
    <cellStyle name="60% - Accent1" xfId="2" builtinId="32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00FF"/>
      <color rgb="FF808000"/>
      <color rgb="FF0000FF"/>
      <color rgb="FF99FFCC"/>
      <color rgb="FF336600"/>
      <color rgb="FF008080"/>
      <color rgb="FF00FFFF"/>
      <color rgb="FF00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955146</xdr:colOff>
      <xdr:row>0</xdr:row>
      <xdr:rowOff>0</xdr:rowOff>
    </xdr:from>
    <xdr:to>
      <xdr:col>10</xdr:col>
      <xdr:colOff>1796520</xdr:colOff>
      <xdr:row>5</xdr:row>
      <xdr:rowOff>215446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E9896A-EDDA-4CE4-8857-79507E2EC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289930" y="0"/>
          <a:ext cx="841374" cy="825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EF70-E15F-45BA-876A-20D795554C7D}">
  <sheetPr>
    <pageSetUpPr fitToPage="1"/>
  </sheetPr>
  <dimension ref="A1:AZ1678"/>
  <sheetViews>
    <sheetView rightToLeft="1" topLeftCell="A42" zoomScale="60" zoomScaleNormal="60" zoomScaleSheetLayoutView="70" workbookViewId="0">
      <selection activeCell="B107" sqref="B107"/>
    </sheetView>
  </sheetViews>
  <sheetFormatPr defaultRowHeight="14.5" x14ac:dyDescent="0.35"/>
  <cols>
    <col min="1" max="1" width="4.1796875" style="32" customWidth="1"/>
    <col min="2" max="2" width="80.54296875" style="113" customWidth="1"/>
    <col min="3" max="3" width="15.6328125" style="114" customWidth="1"/>
    <col min="4" max="5" width="15.6328125" customWidth="1"/>
    <col min="6" max="6" width="28.453125" style="114" customWidth="1"/>
    <col min="7" max="7" width="19.1796875" customWidth="1"/>
    <col min="8" max="8" width="21.81640625" customWidth="1"/>
    <col min="9" max="9" width="25.81640625" customWidth="1"/>
    <col min="10" max="10" width="3.453125" style="30" customWidth="1"/>
    <col min="11" max="11" width="27.81640625" style="30" customWidth="1"/>
    <col min="12" max="12" width="2.81640625" style="30" customWidth="1"/>
    <col min="13" max="13" width="45.453125" style="56" customWidth="1"/>
    <col min="14" max="14" width="51.81640625" style="56" customWidth="1"/>
    <col min="15" max="52" width="8.7265625" style="56"/>
  </cols>
  <sheetData>
    <row r="1" spans="1:11" ht="16" customHeight="1" x14ac:dyDescent="0.35">
      <c r="A1" s="29" t="s">
        <v>37</v>
      </c>
      <c r="B1" s="29"/>
      <c r="C1" s="29"/>
      <c r="D1" s="29"/>
      <c r="E1" s="29"/>
      <c r="F1" s="29"/>
      <c r="G1" s="29"/>
      <c r="H1" s="29"/>
      <c r="I1" s="29"/>
      <c r="J1" s="29"/>
    </row>
    <row r="2" spans="1:11" ht="16" customHeight="1" x14ac:dyDescent="0.35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1" ht="16" customHeight="1" x14ac:dyDescent="0.35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1" ht="16" hidden="1" customHeight="1" x14ac:dyDescent="0.35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1" ht="16" hidden="1" customHeight="1" x14ac:dyDescent="0.35">
      <c r="A5" s="29"/>
      <c r="B5" s="29"/>
      <c r="C5" s="29"/>
      <c r="D5" s="29"/>
      <c r="E5" s="29"/>
      <c r="F5" s="29"/>
      <c r="G5" s="29"/>
      <c r="H5" s="29"/>
      <c r="I5" s="29"/>
      <c r="J5" s="29"/>
    </row>
    <row r="6" spans="1:11" ht="26.25" customHeight="1" x14ac:dyDescent="0.35">
      <c r="A6" s="31"/>
      <c r="B6" s="31"/>
      <c r="C6" s="31"/>
      <c r="D6" s="31"/>
      <c r="E6" s="31"/>
      <c r="F6" s="31"/>
      <c r="G6" s="31"/>
      <c r="H6" s="31"/>
      <c r="I6" s="31"/>
      <c r="J6" s="32"/>
    </row>
    <row r="7" spans="1:11" ht="20.149999999999999" customHeight="1" x14ac:dyDescent="0.35">
      <c r="A7" s="33"/>
      <c r="B7" s="34"/>
      <c r="C7" s="35"/>
      <c r="D7" s="36"/>
      <c r="E7" s="37"/>
      <c r="F7" s="35" t="s">
        <v>38</v>
      </c>
      <c r="G7" s="35" t="s">
        <v>39</v>
      </c>
      <c r="H7" s="35" t="s">
        <v>40</v>
      </c>
      <c r="I7" s="35" t="s">
        <v>13</v>
      </c>
      <c r="J7" s="38"/>
      <c r="K7" s="35" t="s">
        <v>41</v>
      </c>
    </row>
    <row r="8" spans="1:11" ht="20.149999999999999" customHeight="1" x14ac:dyDescent="0.5">
      <c r="A8" s="39"/>
      <c r="B8" s="40" t="s">
        <v>42</v>
      </c>
      <c r="C8" s="18"/>
      <c r="D8" s="36"/>
      <c r="E8" s="37"/>
      <c r="F8" s="41" t="s">
        <v>43</v>
      </c>
      <c r="G8" s="42">
        <f>C30</f>
        <v>155</v>
      </c>
      <c r="H8" s="42">
        <f>D30</f>
        <v>155</v>
      </c>
      <c r="I8" s="43">
        <f>F30</f>
        <v>1</v>
      </c>
      <c r="J8" s="44"/>
      <c r="K8" s="45"/>
    </row>
    <row r="9" spans="1:11" ht="20.149999999999999" customHeight="1" x14ac:dyDescent="0.5">
      <c r="A9" s="39"/>
      <c r="B9" s="40" t="s">
        <v>44</v>
      </c>
      <c r="C9" s="46"/>
      <c r="D9" s="36"/>
      <c r="E9" s="37"/>
      <c r="F9" s="41" t="s">
        <v>45</v>
      </c>
      <c r="G9" s="42">
        <f>C41</f>
        <v>55</v>
      </c>
      <c r="H9" s="42">
        <f>D41</f>
        <v>55</v>
      </c>
      <c r="I9" s="43">
        <f>F41</f>
        <v>1</v>
      </c>
      <c r="J9" s="44"/>
      <c r="K9" s="45"/>
    </row>
    <row r="10" spans="1:11" ht="20.149999999999999" customHeight="1" x14ac:dyDescent="0.5">
      <c r="A10" s="39"/>
      <c r="B10" s="40" t="s">
        <v>46</v>
      </c>
      <c r="C10" s="47"/>
      <c r="D10" s="36"/>
      <c r="E10" s="37"/>
      <c r="F10" s="41" t="s">
        <v>47</v>
      </c>
      <c r="G10" s="42">
        <f>C48</f>
        <v>30</v>
      </c>
      <c r="H10" s="42">
        <f>D48</f>
        <v>30</v>
      </c>
      <c r="I10" s="43">
        <f>F48</f>
        <v>1</v>
      </c>
      <c r="J10" s="44"/>
      <c r="K10" s="45"/>
    </row>
    <row r="11" spans="1:11" ht="20.149999999999999" customHeight="1" x14ac:dyDescent="0.5">
      <c r="A11" s="39"/>
      <c r="B11" s="40" t="s">
        <v>48</v>
      </c>
      <c r="C11" s="48"/>
      <c r="D11" s="36"/>
      <c r="E11" s="37"/>
      <c r="F11" s="41" t="s">
        <v>49</v>
      </c>
      <c r="G11" s="42">
        <f>C64</f>
        <v>80</v>
      </c>
      <c r="H11" s="42">
        <f>D64</f>
        <v>80</v>
      </c>
      <c r="I11" s="43">
        <f>F64</f>
        <v>1</v>
      </c>
      <c r="J11" s="44"/>
      <c r="K11" s="45"/>
    </row>
    <row r="12" spans="1:11" ht="19.5" customHeight="1" x14ac:dyDescent="0.5">
      <c r="A12" s="39"/>
      <c r="B12" s="40" t="s">
        <v>50</v>
      </c>
      <c r="C12" s="48"/>
      <c r="D12" s="36"/>
      <c r="E12" s="37"/>
      <c r="F12" s="41" t="s">
        <v>51</v>
      </c>
      <c r="G12" s="42">
        <f>C77</f>
        <v>60</v>
      </c>
      <c r="H12" s="42">
        <f>D77</f>
        <v>60</v>
      </c>
      <c r="I12" s="43">
        <f>F77</f>
        <v>1</v>
      </c>
      <c r="J12" s="44"/>
      <c r="K12" s="45"/>
    </row>
    <row r="13" spans="1:11" ht="19.5" customHeight="1" x14ac:dyDescent="0.5">
      <c r="A13" s="39"/>
      <c r="B13" s="40" t="s">
        <v>52</v>
      </c>
      <c r="C13" s="48"/>
      <c r="D13" s="36"/>
      <c r="E13" s="37"/>
      <c r="F13" s="41" t="s">
        <v>53</v>
      </c>
      <c r="G13" s="42">
        <f>C88</f>
        <v>45</v>
      </c>
      <c r="H13" s="42">
        <f>D88</f>
        <v>45</v>
      </c>
      <c r="I13" s="43">
        <f>F88</f>
        <v>1</v>
      </c>
      <c r="J13" s="44"/>
      <c r="K13" s="45"/>
    </row>
    <row r="14" spans="1:11" ht="20.149999999999999" customHeight="1" x14ac:dyDescent="0.5">
      <c r="A14" s="39"/>
      <c r="B14" s="40" t="s">
        <v>54</v>
      </c>
      <c r="C14" s="48"/>
      <c r="D14" s="36"/>
      <c r="E14" s="37"/>
      <c r="F14" s="41" t="s">
        <v>55</v>
      </c>
      <c r="G14" s="42">
        <f>C100</f>
        <v>90</v>
      </c>
      <c r="H14" s="42">
        <f>D100</f>
        <v>90</v>
      </c>
      <c r="I14" s="43">
        <f>F100</f>
        <v>1</v>
      </c>
      <c r="J14" s="44"/>
      <c r="K14" s="45"/>
    </row>
    <row r="15" spans="1:11" ht="20.149999999999999" customHeight="1" x14ac:dyDescent="0.5">
      <c r="A15" s="49"/>
      <c r="B15" s="40" t="s">
        <v>56</v>
      </c>
      <c r="C15" s="50"/>
      <c r="D15" s="36"/>
      <c r="E15" s="37"/>
      <c r="F15" s="41" t="s">
        <v>57</v>
      </c>
      <c r="G15" s="42">
        <f>C114</f>
        <v>24</v>
      </c>
      <c r="H15" s="42">
        <f>D114</f>
        <v>24</v>
      </c>
      <c r="I15" s="43">
        <f>F114</f>
        <v>1</v>
      </c>
      <c r="J15" s="44"/>
      <c r="K15" s="45"/>
    </row>
    <row r="16" spans="1:11" ht="20.149999999999999" customHeight="1" x14ac:dyDescent="0.35">
      <c r="A16" s="49"/>
      <c r="B16" s="51" t="s">
        <v>58</v>
      </c>
      <c r="C16" s="52">
        <f>COUNTA(F20,F21,F22,F23,F24,F25,F26,F27,F28,F29)</f>
        <v>0</v>
      </c>
      <c r="D16" s="36"/>
      <c r="E16" s="37"/>
      <c r="F16" s="35" t="s">
        <v>59</v>
      </c>
      <c r="G16" s="35">
        <f>SUM(G8:G15)</f>
        <v>539</v>
      </c>
      <c r="H16" s="35">
        <f>SUM(H8:H15)</f>
        <v>539</v>
      </c>
      <c r="I16" s="53">
        <f>F115</f>
        <v>1</v>
      </c>
      <c r="J16" s="54"/>
      <c r="K16" s="55" t="e">
        <f>AVERAGE(K8:K15)</f>
        <v>#DIV/0!</v>
      </c>
    </row>
    <row r="17" spans="1:14" ht="64" customHeight="1" x14ac:dyDescent="0.35">
      <c r="A17" s="31"/>
      <c r="B17" s="31"/>
      <c r="C17" s="31"/>
      <c r="D17" s="31"/>
      <c r="E17" s="31"/>
      <c r="F17" s="31"/>
      <c r="G17" s="31"/>
      <c r="H17" s="31"/>
      <c r="I17" s="31"/>
      <c r="J17" s="32"/>
    </row>
    <row r="18" spans="1:14" ht="28.5" customHeight="1" x14ac:dyDescent="0.35">
      <c r="A18" s="57" t="s">
        <v>60</v>
      </c>
      <c r="B18" s="58" t="s">
        <v>38</v>
      </c>
      <c r="C18" s="59" t="s">
        <v>61</v>
      </c>
      <c r="D18" s="59" t="s">
        <v>62</v>
      </c>
      <c r="E18" s="59" t="s">
        <v>63</v>
      </c>
      <c r="F18" s="60" t="s">
        <v>64</v>
      </c>
      <c r="G18" s="60"/>
      <c r="H18" s="60"/>
      <c r="I18" s="60"/>
      <c r="J18" s="60"/>
      <c r="K18" s="60"/>
    </row>
    <row r="19" spans="1:14" ht="25" customHeight="1" x14ac:dyDescent="0.35">
      <c r="A19" s="61"/>
      <c r="B19" s="62" t="s">
        <v>43</v>
      </c>
      <c r="C19" s="63"/>
      <c r="D19" s="64"/>
      <c r="E19" s="65"/>
      <c r="F19" s="66"/>
      <c r="G19" s="67"/>
      <c r="H19" s="67"/>
      <c r="I19" s="67"/>
      <c r="J19" s="67"/>
      <c r="K19" s="67"/>
      <c r="L19" s="36"/>
      <c r="M19" s="68"/>
      <c r="N19" s="68"/>
    </row>
    <row r="20" spans="1:14" ht="37" x14ac:dyDescent="0.35">
      <c r="A20" s="61">
        <v>1</v>
      </c>
      <c r="B20" s="69" t="s">
        <v>65</v>
      </c>
      <c r="C20" s="70">
        <v>15</v>
      </c>
      <c r="D20" s="71">
        <v>15</v>
      </c>
      <c r="E20" s="71"/>
      <c r="F20" s="72"/>
      <c r="G20" s="72"/>
      <c r="H20" s="72"/>
      <c r="I20" s="72"/>
      <c r="J20" s="72"/>
      <c r="K20" s="72"/>
      <c r="L20" s="36"/>
      <c r="M20" s="68"/>
      <c r="N20" s="68"/>
    </row>
    <row r="21" spans="1:14" ht="25" customHeight="1" x14ac:dyDescent="0.35">
      <c r="A21" s="61">
        <v>2</v>
      </c>
      <c r="B21" s="143" t="s">
        <v>66</v>
      </c>
      <c r="C21" s="70">
        <v>15</v>
      </c>
      <c r="D21" s="71">
        <v>15</v>
      </c>
      <c r="E21" s="71"/>
      <c r="F21" s="72"/>
      <c r="G21" s="72"/>
      <c r="H21" s="72"/>
      <c r="I21" s="72"/>
      <c r="J21" s="72"/>
      <c r="K21" s="72"/>
      <c r="L21" s="36"/>
      <c r="M21" s="68"/>
      <c r="N21" s="68"/>
    </row>
    <row r="22" spans="1:14" ht="25" customHeight="1" x14ac:dyDescent="0.35">
      <c r="A22" s="61">
        <v>3</v>
      </c>
      <c r="B22" s="145" t="s">
        <v>67</v>
      </c>
      <c r="C22" s="70">
        <v>15</v>
      </c>
      <c r="D22" s="71">
        <v>15</v>
      </c>
      <c r="E22" s="71"/>
      <c r="F22" s="72"/>
      <c r="G22" s="72"/>
      <c r="H22" s="72"/>
      <c r="I22" s="72"/>
      <c r="J22" s="72"/>
      <c r="K22" s="72"/>
      <c r="L22" s="36"/>
      <c r="M22" s="68"/>
      <c r="N22" s="68"/>
    </row>
    <row r="23" spans="1:14" ht="25" customHeight="1" x14ac:dyDescent="0.35">
      <c r="A23" s="61">
        <v>4</v>
      </c>
      <c r="B23" s="149" t="s">
        <v>68</v>
      </c>
      <c r="C23" s="70">
        <v>15</v>
      </c>
      <c r="D23" s="71">
        <v>15</v>
      </c>
      <c r="E23" s="71"/>
      <c r="F23" s="72"/>
      <c r="G23" s="72"/>
      <c r="H23" s="72"/>
      <c r="I23" s="72"/>
      <c r="J23" s="72"/>
      <c r="K23" s="72"/>
      <c r="L23" s="36"/>
      <c r="M23" s="68"/>
      <c r="N23" s="68"/>
    </row>
    <row r="24" spans="1:14" ht="25" customHeight="1" x14ac:dyDescent="0.35">
      <c r="A24" s="61">
        <v>5</v>
      </c>
      <c r="B24" s="132" t="s">
        <v>69</v>
      </c>
      <c r="C24" s="70">
        <v>20</v>
      </c>
      <c r="D24" s="71">
        <v>20</v>
      </c>
      <c r="E24" s="71"/>
      <c r="F24" s="72"/>
      <c r="G24" s="72"/>
      <c r="H24" s="72"/>
      <c r="I24" s="72"/>
      <c r="J24" s="72"/>
      <c r="K24" s="72"/>
      <c r="L24" s="36"/>
      <c r="M24" s="68"/>
      <c r="N24" s="68"/>
    </row>
    <row r="25" spans="1:14" ht="25" customHeight="1" x14ac:dyDescent="0.35">
      <c r="A25" s="61">
        <v>6</v>
      </c>
      <c r="B25" s="73" t="s">
        <v>70</v>
      </c>
      <c r="C25" s="70">
        <v>15</v>
      </c>
      <c r="D25" s="71">
        <v>15</v>
      </c>
      <c r="E25" s="71"/>
      <c r="F25" s="72"/>
      <c r="G25" s="72"/>
      <c r="H25" s="72"/>
      <c r="I25" s="72"/>
      <c r="J25" s="72"/>
      <c r="K25" s="72"/>
      <c r="L25" s="36"/>
      <c r="M25" s="68"/>
      <c r="N25" s="68"/>
    </row>
    <row r="26" spans="1:14" ht="25" customHeight="1" x14ac:dyDescent="0.35">
      <c r="A26" s="61">
        <v>7</v>
      </c>
      <c r="B26" s="73" t="s">
        <v>71</v>
      </c>
      <c r="C26" s="70">
        <v>15</v>
      </c>
      <c r="D26" s="71">
        <v>15</v>
      </c>
      <c r="E26" s="71"/>
      <c r="F26" s="72"/>
      <c r="G26" s="72"/>
      <c r="H26" s="72"/>
      <c r="I26" s="72"/>
      <c r="J26" s="72"/>
      <c r="K26" s="72"/>
      <c r="L26" s="36"/>
      <c r="M26" s="68"/>
      <c r="N26" s="68"/>
    </row>
    <row r="27" spans="1:14" ht="25" customHeight="1" x14ac:dyDescent="0.35">
      <c r="A27" s="61">
        <v>8</v>
      </c>
      <c r="B27" s="73" t="s">
        <v>72</v>
      </c>
      <c r="C27" s="70">
        <v>15</v>
      </c>
      <c r="D27" s="71">
        <v>15</v>
      </c>
      <c r="E27" s="71"/>
      <c r="F27" s="72"/>
      <c r="G27" s="72"/>
      <c r="H27" s="72"/>
      <c r="I27" s="72"/>
      <c r="J27" s="72"/>
      <c r="K27" s="72"/>
    </row>
    <row r="28" spans="1:14" ht="25" customHeight="1" x14ac:dyDescent="0.35">
      <c r="A28" s="61">
        <v>9</v>
      </c>
      <c r="B28" s="73" t="s">
        <v>73</v>
      </c>
      <c r="C28" s="70">
        <v>15</v>
      </c>
      <c r="D28" s="71">
        <v>15</v>
      </c>
      <c r="E28" s="71"/>
      <c r="F28" s="72"/>
      <c r="G28" s="72"/>
      <c r="H28" s="72"/>
      <c r="I28" s="72"/>
      <c r="J28" s="72"/>
      <c r="K28" s="72"/>
    </row>
    <row r="29" spans="1:14" ht="25" customHeight="1" x14ac:dyDescent="0.35">
      <c r="A29" s="61">
        <v>10</v>
      </c>
      <c r="B29" s="73" t="s">
        <v>74</v>
      </c>
      <c r="C29" s="74">
        <v>15</v>
      </c>
      <c r="D29" s="75">
        <v>15</v>
      </c>
      <c r="E29" s="75"/>
      <c r="F29" s="76"/>
      <c r="G29" s="76"/>
      <c r="H29" s="76"/>
      <c r="I29" s="76"/>
      <c r="J29" s="76"/>
      <c r="K29" s="76"/>
    </row>
    <row r="30" spans="1:14" ht="30.75" customHeight="1" x14ac:dyDescent="0.35">
      <c r="A30" s="61"/>
      <c r="B30" s="77" t="s">
        <v>75</v>
      </c>
      <c r="C30" s="78">
        <f>SUM(C20:C29)</f>
        <v>155</v>
      </c>
      <c r="D30" s="78">
        <f>SUM(D20:D29)</f>
        <v>155</v>
      </c>
      <c r="E30" s="78"/>
      <c r="F30" s="79">
        <f>D30/C30</f>
        <v>1</v>
      </c>
      <c r="G30" s="79"/>
      <c r="H30" s="79"/>
      <c r="I30" s="79"/>
      <c r="J30" s="79"/>
      <c r="K30" s="79"/>
    </row>
    <row r="31" spans="1:14" ht="25" customHeight="1" thickBot="1" x14ac:dyDescent="0.4">
      <c r="A31" s="61"/>
      <c r="B31" s="80" t="s">
        <v>76</v>
      </c>
      <c r="C31" s="81"/>
      <c r="D31" s="82"/>
      <c r="E31" s="65"/>
      <c r="F31" s="83"/>
      <c r="G31" s="84"/>
      <c r="H31" s="84"/>
      <c r="I31" s="84"/>
      <c r="J31" s="84"/>
      <c r="K31" s="84"/>
    </row>
    <row r="32" spans="1:14" ht="25" customHeight="1" x14ac:dyDescent="0.35">
      <c r="A32" s="61">
        <v>11</v>
      </c>
      <c r="B32" s="136" t="s">
        <v>77</v>
      </c>
      <c r="C32" s="70">
        <v>5</v>
      </c>
      <c r="D32" s="71">
        <v>5</v>
      </c>
      <c r="E32" s="71"/>
      <c r="F32" s="72"/>
      <c r="G32" s="72"/>
      <c r="H32" s="72"/>
      <c r="I32" s="72"/>
      <c r="J32" s="72"/>
      <c r="K32" s="72"/>
    </row>
    <row r="33" spans="1:11" ht="25" customHeight="1" x14ac:dyDescent="0.35">
      <c r="A33" s="61">
        <v>12</v>
      </c>
      <c r="B33" s="134" t="s">
        <v>78</v>
      </c>
      <c r="C33" s="85">
        <v>5</v>
      </c>
      <c r="D33" s="86">
        <v>5</v>
      </c>
      <c r="E33" s="86"/>
      <c r="F33" s="72"/>
      <c r="G33" s="72"/>
      <c r="H33" s="72"/>
      <c r="I33" s="72"/>
      <c r="J33" s="72"/>
      <c r="K33" s="72"/>
    </row>
    <row r="34" spans="1:11" ht="25" customHeight="1" x14ac:dyDescent="0.35">
      <c r="A34" s="61">
        <v>13</v>
      </c>
      <c r="B34" s="87" t="s">
        <v>79</v>
      </c>
      <c r="C34" s="85">
        <v>5</v>
      </c>
      <c r="D34" s="86">
        <v>5</v>
      </c>
      <c r="E34" s="86"/>
      <c r="F34" s="72"/>
      <c r="G34" s="72"/>
      <c r="H34" s="72"/>
      <c r="I34" s="72"/>
      <c r="J34" s="72"/>
      <c r="K34" s="72"/>
    </row>
    <row r="35" spans="1:11" ht="25" customHeight="1" x14ac:dyDescent="0.35">
      <c r="A35" s="61">
        <v>14</v>
      </c>
      <c r="B35" s="88" t="s">
        <v>80</v>
      </c>
      <c r="C35" s="85">
        <v>5</v>
      </c>
      <c r="D35" s="86">
        <v>5</v>
      </c>
      <c r="E35" s="86"/>
      <c r="F35" s="72"/>
      <c r="G35" s="72"/>
      <c r="H35" s="72"/>
      <c r="I35" s="72"/>
      <c r="J35" s="72"/>
      <c r="K35" s="72"/>
    </row>
    <row r="36" spans="1:11" ht="37" x14ac:dyDescent="0.35">
      <c r="A36" s="61">
        <v>15</v>
      </c>
      <c r="B36" s="146" t="s">
        <v>81</v>
      </c>
      <c r="C36" s="90">
        <v>10</v>
      </c>
      <c r="D36" s="91">
        <v>10</v>
      </c>
      <c r="E36" s="91"/>
      <c r="F36" s="72"/>
      <c r="G36" s="72"/>
      <c r="H36" s="72"/>
      <c r="I36" s="72"/>
      <c r="J36" s="72"/>
      <c r="K36" s="72"/>
    </row>
    <row r="37" spans="1:11" ht="43.5" customHeight="1" x14ac:dyDescent="0.35">
      <c r="A37" s="61">
        <v>16</v>
      </c>
      <c r="B37" s="89" t="s">
        <v>82</v>
      </c>
      <c r="C37" s="90">
        <v>10</v>
      </c>
      <c r="D37" s="91">
        <v>10</v>
      </c>
      <c r="E37" s="91"/>
      <c r="F37" s="72"/>
      <c r="G37" s="72"/>
      <c r="H37" s="72"/>
      <c r="I37" s="72"/>
      <c r="J37" s="72"/>
      <c r="K37" s="72"/>
    </row>
    <row r="38" spans="1:11" ht="25" customHeight="1" x14ac:dyDescent="0.35">
      <c r="A38" s="61">
        <v>17</v>
      </c>
      <c r="B38" s="89" t="s">
        <v>83</v>
      </c>
      <c r="C38" s="85">
        <v>5</v>
      </c>
      <c r="D38" s="86">
        <v>5</v>
      </c>
      <c r="E38" s="86"/>
      <c r="F38" s="72"/>
      <c r="G38" s="72"/>
      <c r="H38" s="72"/>
      <c r="I38" s="72"/>
      <c r="J38" s="72"/>
      <c r="K38" s="72"/>
    </row>
    <row r="39" spans="1:11" ht="37" x14ac:dyDescent="0.35">
      <c r="A39" s="61">
        <v>18</v>
      </c>
      <c r="B39" s="122" t="s">
        <v>84</v>
      </c>
      <c r="C39" s="85">
        <v>5</v>
      </c>
      <c r="D39" s="86">
        <v>5</v>
      </c>
      <c r="E39" s="86"/>
      <c r="F39" s="72"/>
      <c r="G39" s="72"/>
      <c r="H39" s="72"/>
      <c r="I39" s="72"/>
      <c r="J39" s="72"/>
      <c r="K39" s="72"/>
    </row>
    <row r="40" spans="1:11" ht="49.5" customHeight="1" x14ac:dyDescent="0.35">
      <c r="A40" s="61">
        <v>19</v>
      </c>
      <c r="B40" s="118" t="s">
        <v>85</v>
      </c>
      <c r="C40" s="90">
        <v>5</v>
      </c>
      <c r="D40" s="91">
        <v>5</v>
      </c>
      <c r="E40" s="91"/>
      <c r="F40" s="76"/>
      <c r="G40" s="76"/>
      <c r="H40" s="76"/>
      <c r="I40" s="76"/>
      <c r="J40" s="76"/>
      <c r="K40" s="76"/>
    </row>
    <row r="41" spans="1:11" ht="30.75" customHeight="1" x14ac:dyDescent="0.35">
      <c r="A41" s="61"/>
      <c r="B41" s="77" t="s">
        <v>86</v>
      </c>
      <c r="C41" s="78">
        <f>SUM(C32:C40)</f>
        <v>55</v>
      </c>
      <c r="D41" s="78">
        <f>SUM(D32:D40)</f>
        <v>55</v>
      </c>
      <c r="E41" s="78"/>
      <c r="F41" s="79">
        <f>D41/C41</f>
        <v>1</v>
      </c>
      <c r="G41" s="79"/>
      <c r="H41" s="79"/>
      <c r="I41" s="79"/>
      <c r="J41" s="79"/>
      <c r="K41" s="79"/>
    </row>
    <row r="42" spans="1:11" ht="25" customHeight="1" x14ac:dyDescent="0.35">
      <c r="A42" s="61"/>
      <c r="B42" s="93" t="s">
        <v>47</v>
      </c>
      <c r="C42" s="94"/>
      <c r="D42" s="95"/>
      <c r="E42" s="95"/>
      <c r="F42" s="66"/>
      <c r="G42" s="67"/>
      <c r="H42" s="67"/>
      <c r="I42" s="67"/>
      <c r="J42" s="67"/>
      <c r="K42" s="67"/>
    </row>
    <row r="43" spans="1:11" ht="25" customHeight="1" x14ac:dyDescent="0.35">
      <c r="A43" s="61">
        <v>20</v>
      </c>
      <c r="B43" s="96" t="s">
        <v>87</v>
      </c>
      <c r="C43" s="85">
        <v>5</v>
      </c>
      <c r="D43" s="86">
        <v>5</v>
      </c>
      <c r="E43" s="86"/>
      <c r="F43" s="72"/>
      <c r="G43" s="72"/>
      <c r="H43" s="72"/>
      <c r="I43" s="72"/>
      <c r="J43" s="72"/>
      <c r="K43" s="72"/>
    </row>
    <row r="44" spans="1:11" ht="43" customHeight="1" x14ac:dyDescent="0.35">
      <c r="A44" s="61">
        <v>21</v>
      </c>
      <c r="B44" s="96" t="s">
        <v>88</v>
      </c>
      <c r="C44" s="85">
        <v>10</v>
      </c>
      <c r="D44" s="86">
        <v>10</v>
      </c>
      <c r="E44" s="86"/>
      <c r="F44" s="72"/>
      <c r="G44" s="72"/>
      <c r="H44" s="72"/>
      <c r="I44" s="72"/>
      <c r="J44" s="72"/>
      <c r="K44" s="72"/>
    </row>
    <row r="45" spans="1:11" ht="18.5" x14ac:dyDescent="0.35">
      <c r="A45" s="61">
        <v>22</v>
      </c>
      <c r="B45" s="97" t="s">
        <v>89</v>
      </c>
      <c r="C45" s="90">
        <v>5</v>
      </c>
      <c r="D45" s="91">
        <v>5</v>
      </c>
      <c r="E45" s="91"/>
      <c r="F45" s="72"/>
      <c r="G45" s="72"/>
      <c r="H45" s="72"/>
      <c r="I45" s="72"/>
      <c r="J45" s="72"/>
      <c r="K45" s="72"/>
    </row>
    <row r="46" spans="1:11" ht="39.65" customHeight="1" x14ac:dyDescent="0.35">
      <c r="A46" s="61">
        <v>23</v>
      </c>
      <c r="B46" s="98" t="s">
        <v>90</v>
      </c>
      <c r="C46" s="90">
        <v>5</v>
      </c>
      <c r="D46" s="91">
        <v>5</v>
      </c>
      <c r="E46" s="91"/>
      <c r="F46" s="72"/>
      <c r="G46" s="72"/>
      <c r="H46" s="72"/>
      <c r="I46" s="72"/>
      <c r="J46" s="72"/>
      <c r="K46" s="72"/>
    </row>
    <row r="47" spans="1:11" ht="25" customHeight="1" x14ac:dyDescent="0.35">
      <c r="A47" s="61">
        <v>24</v>
      </c>
      <c r="B47" s="98" t="s">
        <v>91</v>
      </c>
      <c r="C47" s="90">
        <v>5</v>
      </c>
      <c r="D47" s="91">
        <v>5</v>
      </c>
      <c r="E47" s="91"/>
      <c r="F47" s="76"/>
      <c r="G47" s="76"/>
      <c r="H47" s="76"/>
      <c r="I47" s="76"/>
      <c r="J47" s="76"/>
      <c r="K47" s="76"/>
    </row>
    <row r="48" spans="1:11" ht="30.75" customHeight="1" x14ac:dyDescent="0.35">
      <c r="A48" s="61"/>
      <c r="B48" s="77" t="s">
        <v>92</v>
      </c>
      <c r="C48" s="78">
        <f>SUM(C43:C47)</f>
        <v>30</v>
      </c>
      <c r="D48" s="78">
        <f>SUM(D43:D47)</f>
        <v>30</v>
      </c>
      <c r="E48" s="78"/>
      <c r="F48" s="79">
        <f>D48/C48</f>
        <v>1</v>
      </c>
      <c r="G48" s="79"/>
      <c r="H48" s="79"/>
      <c r="I48" s="79"/>
      <c r="J48" s="79"/>
      <c r="K48" s="79"/>
    </row>
    <row r="49" spans="1:11" ht="25" customHeight="1" x14ac:dyDescent="0.35">
      <c r="A49" s="61"/>
      <c r="B49" s="93" t="s">
        <v>93</v>
      </c>
      <c r="C49" s="94"/>
      <c r="D49" s="95"/>
      <c r="E49" s="95"/>
      <c r="F49" s="66"/>
      <c r="G49" s="67"/>
      <c r="H49" s="67"/>
      <c r="I49" s="67"/>
      <c r="J49" s="67"/>
      <c r="K49" s="67"/>
    </row>
    <row r="50" spans="1:11" ht="25" customHeight="1" x14ac:dyDescent="0.35">
      <c r="A50" s="61">
        <v>25</v>
      </c>
      <c r="B50" s="89" t="s">
        <v>94</v>
      </c>
      <c r="C50" s="85">
        <v>5</v>
      </c>
      <c r="D50" s="86">
        <v>5</v>
      </c>
      <c r="E50" s="86"/>
      <c r="F50" s="99"/>
      <c r="G50" s="100"/>
      <c r="H50" s="100"/>
      <c r="I50" s="100"/>
      <c r="J50" s="100"/>
      <c r="K50" s="101"/>
    </row>
    <row r="51" spans="1:11" ht="25" customHeight="1" x14ac:dyDescent="0.35">
      <c r="A51" s="61">
        <v>26</v>
      </c>
      <c r="B51" s="89" t="s">
        <v>95</v>
      </c>
      <c r="C51" s="85">
        <v>5</v>
      </c>
      <c r="D51" s="86">
        <v>5</v>
      </c>
      <c r="E51" s="86"/>
      <c r="F51" s="99"/>
      <c r="G51" s="100"/>
      <c r="H51" s="100"/>
      <c r="I51" s="100"/>
      <c r="J51" s="100"/>
      <c r="K51" s="101"/>
    </row>
    <row r="52" spans="1:11" ht="37" x14ac:dyDescent="0.35">
      <c r="A52" s="61">
        <v>27</v>
      </c>
      <c r="B52" s="130" t="s">
        <v>96</v>
      </c>
      <c r="C52" s="85">
        <v>10</v>
      </c>
      <c r="D52" s="86">
        <v>10</v>
      </c>
      <c r="E52" s="86"/>
      <c r="F52" s="99"/>
      <c r="G52" s="100"/>
      <c r="H52" s="100"/>
      <c r="I52" s="100"/>
      <c r="J52" s="100"/>
      <c r="K52" s="101"/>
    </row>
    <row r="53" spans="1:11" ht="25" customHeight="1" x14ac:dyDescent="0.35">
      <c r="A53" s="61">
        <v>28</v>
      </c>
      <c r="B53" s="89" t="s">
        <v>97</v>
      </c>
      <c r="C53" s="85">
        <v>5</v>
      </c>
      <c r="D53" s="86">
        <v>5</v>
      </c>
      <c r="E53" s="86"/>
      <c r="F53" s="99"/>
      <c r="G53" s="100"/>
      <c r="H53" s="100"/>
      <c r="I53" s="100"/>
      <c r="J53" s="100"/>
      <c r="K53" s="101"/>
    </row>
    <row r="54" spans="1:11" ht="25" customHeight="1" x14ac:dyDescent="0.35">
      <c r="A54" s="61">
        <v>29</v>
      </c>
      <c r="B54" s="89" t="s">
        <v>98</v>
      </c>
      <c r="C54" s="85">
        <v>5</v>
      </c>
      <c r="D54" s="86">
        <v>5</v>
      </c>
      <c r="E54" s="86"/>
      <c r="F54" s="99"/>
      <c r="G54" s="100"/>
      <c r="H54" s="100"/>
      <c r="I54" s="100"/>
      <c r="J54" s="100"/>
      <c r="K54" s="101"/>
    </row>
    <row r="55" spans="1:11" ht="37" x14ac:dyDescent="0.35">
      <c r="A55" s="61">
        <v>30</v>
      </c>
      <c r="B55" s="89" t="s">
        <v>99</v>
      </c>
      <c r="C55" s="90">
        <v>5</v>
      </c>
      <c r="D55" s="91">
        <v>5</v>
      </c>
      <c r="E55" s="91"/>
      <c r="F55" s="99"/>
      <c r="G55" s="100"/>
      <c r="H55" s="100"/>
      <c r="I55" s="100"/>
      <c r="J55" s="100"/>
      <c r="K55" s="101"/>
    </row>
    <row r="56" spans="1:11" ht="25" customHeight="1" x14ac:dyDescent="0.35">
      <c r="A56" s="61">
        <v>31</v>
      </c>
      <c r="B56" s="89" t="s">
        <v>100</v>
      </c>
      <c r="C56" s="85">
        <v>5</v>
      </c>
      <c r="D56" s="86">
        <v>5</v>
      </c>
      <c r="E56" s="86"/>
      <c r="F56" s="99"/>
      <c r="G56" s="100"/>
      <c r="H56" s="100"/>
      <c r="I56" s="100"/>
      <c r="J56" s="100"/>
      <c r="K56" s="101"/>
    </row>
    <row r="57" spans="1:11" ht="45.65" customHeight="1" x14ac:dyDescent="0.35">
      <c r="A57" s="61">
        <v>32</v>
      </c>
      <c r="B57" s="89" t="s">
        <v>101</v>
      </c>
      <c r="C57" s="70">
        <v>10</v>
      </c>
      <c r="D57" s="71">
        <v>10</v>
      </c>
      <c r="E57" s="71"/>
      <c r="F57" s="99"/>
      <c r="G57" s="100"/>
      <c r="H57" s="100"/>
      <c r="I57" s="100"/>
      <c r="J57" s="100"/>
      <c r="K57" s="101"/>
    </row>
    <row r="58" spans="1:11" ht="37" x14ac:dyDescent="0.35">
      <c r="A58" s="61">
        <v>33</v>
      </c>
      <c r="B58" s="89" t="s">
        <v>102</v>
      </c>
      <c r="C58" s="85">
        <v>0</v>
      </c>
      <c r="D58" s="86">
        <v>0</v>
      </c>
      <c r="E58" s="86" t="s">
        <v>63</v>
      </c>
      <c r="F58" s="99"/>
      <c r="G58" s="100"/>
      <c r="H58" s="100"/>
      <c r="I58" s="100"/>
      <c r="J58" s="100"/>
      <c r="K58" s="101"/>
    </row>
    <row r="59" spans="1:11" ht="31.5" customHeight="1" x14ac:dyDescent="0.35">
      <c r="A59" s="61">
        <v>34</v>
      </c>
      <c r="B59" s="126" t="s">
        <v>103</v>
      </c>
      <c r="C59" s="85">
        <v>5</v>
      </c>
      <c r="D59" s="86">
        <v>5</v>
      </c>
      <c r="E59" s="86"/>
      <c r="F59" s="99"/>
      <c r="G59" s="100"/>
      <c r="H59" s="100"/>
      <c r="I59" s="100"/>
      <c r="J59" s="100"/>
      <c r="K59" s="101"/>
    </row>
    <row r="60" spans="1:11" ht="25" customHeight="1" x14ac:dyDescent="0.35">
      <c r="A60" s="61">
        <v>35</v>
      </c>
      <c r="B60" s="126" t="s">
        <v>104</v>
      </c>
      <c r="C60" s="85">
        <v>5</v>
      </c>
      <c r="D60" s="86">
        <v>5</v>
      </c>
      <c r="E60" s="86"/>
      <c r="F60" s="99"/>
      <c r="G60" s="100"/>
      <c r="H60" s="100"/>
      <c r="I60" s="100"/>
      <c r="J60" s="100"/>
      <c r="K60" s="101"/>
    </row>
    <row r="61" spans="1:11" ht="25" customHeight="1" x14ac:dyDescent="0.35">
      <c r="A61" s="61">
        <v>36</v>
      </c>
      <c r="B61" s="127" t="s">
        <v>105</v>
      </c>
      <c r="C61" s="85">
        <v>5</v>
      </c>
      <c r="D61" s="86">
        <v>5</v>
      </c>
      <c r="E61" s="86"/>
      <c r="F61" s="99"/>
      <c r="G61" s="100"/>
      <c r="H61" s="100"/>
      <c r="I61" s="100"/>
      <c r="J61" s="100"/>
      <c r="K61" s="101"/>
    </row>
    <row r="62" spans="1:11" ht="25" customHeight="1" x14ac:dyDescent="0.35">
      <c r="A62" s="61">
        <v>37</v>
      </c>
      <c r="B62" s="92" t="s">
        <v>106</v>
      </c>
      <c r="C62" s="85">
        <v>15</v>
      </c>
      <c r="D62" s="86">
        <v>15</v>
      </c>
      <c r="E62" s="86"/>
      <c r="F62" s="99"/>
      <c r="G62" s="100"/>
      <c r="H62" s="100"/>
      <c r="I62" s="100"/>
      <c r="J62" s="100"/>
      <c r="K62" s="101"/>
    </row>
    <row r="63" spans="1:11" ht="27.65" customHeight="1" x14ac:dyDescent="0.35">
      <c r="A63" s="61">
        <v>38</v>
      </c>
      <c r="B63" s="89" t="s">
        <v>107</v>
      </c>
      <c r="C63" s="90">
        <v>0</v>
      </c>
      <c r="D63" s="91">
        <v>0</v>
      </c>
      <c r="E63" s="91" t="s">
        <v>63</v>
      </c>
      <c r="F63" s="99"/>
      <c r="G63" s="100"/>
      <c r="H63" s="100"/>
      <c r="I63" s="100"/>
      <c r="J63" s="100"/>
      <c r="K63" s="101"/>
    </row>
    <row r="64" spans="1:11" ht="30.75" customHeight="1" x14ac:dyDescent="0.35">
      <c r="A64" s="61"/>
      <c r="B64" s="102" t="s">
        <v>108</v>
      </c>
      <c r="C64" s="103">
        <f>SUM(C50:C63)</f>
        <v>80</v>
      </c>
      <c r="D64" s="78">
        <f>SUM(D50:D63)</f>
        <v>80</v>
      </c>
      <c r="E64" s="104"/>
      <c r="F64" s="105">
        <f>D64/C64</f>
        <v>1</v>
      </c>
      <c r="G64" s="106"/>
      <c r="H64" s="106"/>
      <c r="I64" s="106"/>
      <c r="J64" s="106"/>
      <c r="K64" s="106"/>
    </row>
    <row r="65" spans="1:14" ht="25" customHeight="1" x14ac:dyDescent="0.35">
      <c r="A65" s="61"/>
      <c r="B65" s="93" t="s">
        <v>51</v>
      </c>
      <c r="C65" s="94"/>
      <c r="D65" s="95"/>
      <c r="E65" s="95"/>
      <c r="F65" s="66"/>
      <c r="G65" s="67"/>
      <c r="H65" s="67"/>
      <c r="I65" s="67"/>
      <c r="J65" s="67"/>
      <c r="K65" s="67"/>
    </row>
    <row r="66" spans="1:14" ht="42" customHeight="1" x14ac:dyDescent="0.35">
      <c r="A66" s="61">
        <v>39</v>
      </c>
      <c r="B66" s="141" t="s">
        <v>109</v>
      </c>
      <c r="C66" s="85">
        <v>5</v>
      </c>
      <c r="D66" s="86">
        <v>5</v>
      </c>
      <c r="E66" s="86"/>
      <c r="F66" s="72"/>
      <c r="G66" s="72"/>
      <c r="H66" s="72"/>
      <c r="I66" s="72"/>
      <c r="J66" s="72"/>
      <c r="K66" s="72"/>
    </row>
    <row r="67" spans="1:14" ht="25" customHeight="1" x14ac:dyDescent="0.35">
      <c r="A67" s="61">
        <v>40</v>
      </c>
      <c r="B67" s="141" t="s">
        <v>110</v>
      </c>
      <c r="C67" s="85">
        <v>5</v>
      </c>
      <c r="D67" s="86">
        <v>5</v>
      </c>
      <c r="E67" s="86"/>
      <c r="F67" s="72"/>
      <c r="G67" s="72"/>
      <c r="H67" s="72"/>
      <c r="I67" s="72"/>
      <c r="J67" s="72"/>
      <c r="K67" s="72"/>
    </row>
    <row r="68" spans="1:14" ht="25" customHeight="1" x14ac:dyDescent="0.35">
      <c r="A68" s="61">
        <v>41</v>
      </c>
      <c r="B68" s="141" t="s">
        <v>111</v>
      </c>
      <c r="C68" s="90">
        <v>5</v>
      </c>
      <c r="D68" s="91">
        <v>5</v>
      </c>
      <c r="E68" s="91"/>
      <c r="F68" s="72"/>
      <c r="G68" s="72"/>
      <c r="H68" s="72"/>
      <c r="I68" s="72"/>
      <c r="J68" s="72"/>
      <c r="K68" s="72"/>
    </row>
    <row r="69" spans="1:14" ht="25" customHeight="1" x14ac:dyDescent="0.35">
      <c r="A69" s="61">
        <v>42</v>
      </c>
      <c r="B69" s="141" t="s">
        <v>112</v>
      </c>
      <c r="C69" s="90">
        <v>5</v>
      </c>
      <c r="D69" s="91">
        <v>5</v>
      </c>
      <c r="E69" s="91"/>
      <c r="F69" s="72"/>
      <c r="G69" s="72"/>
      <c r="H69" s="72"/>
      <c r="I69" s="72"/>
      <c r="J69" s="72"/>
      <c r="K69" s="72"/>
    </row>
    <row r="70" spans="1:14" ht="25" customHeight="1" x14ac:dyDescent="0.35">
      <c r="A70" s="61">
        <v>43</v>
      </c>
      <c r="B70" s="141" t="s">
        <v>113</v>
      </c>
      <c r="C70" s="90">
        <v>5</v>
      </c>
      <c r="D70" s="91">
        <v>5</v>
      </c>
      <c r="E70" s="91"/>
      <c r="F70" s="72"/>
      <c r="G70" s="72"/>
      <c r="H70" s="72"/>
      <c r="I70" s="72"/>
      <c r="J70" s="72"/>
      <c r="K70" s="72"/>
    </row>
    <row r="71" spans="1:14" ht="32.5" customHeight="1" x14ac:dyDescent="0.35">
      <c r="A71" s="61">
        <v>44</v>
      </c>
      <c r="B71" s="89" t="s">
        <v>114</v>
      </c>
      <c r="C71" s="90">
        <v>5</v>
      </c>
      <c r="D71" s="91">
        <v>5</v>
      </c>
      <c r="E71" s="91"/>
      <c r="F71" s="72"/>
      <c r="G71" s="72"/>
      <c r="H71" s="72"/>
      <c r="I71" s="72"/>
      <c r="J71" s="72"/>
      <c r="K71" s="72"/>
      <c r="L71" s="107"/>
      <c r="M71" s="108"/>
      <c r="N71" s="108"/>
    </row>
    <row r="72" spans="1:14" ht="25" customHeight="1" x14ac:dyDescent="0.35">
      <c r="A72" s="61">
        <v>45</v>
      </c>
      <c r="B72" s="96" t="s">
        <v>115</v>
      </c>
      <c r="C72" s="85">
        <v>10</v>
      </c>
      <c r="D72" s="86">
        <v>10</v>
      </c>
      <c r="E72" s="86"/>
      <c r="F72" s="72"/>
      <c r="G72" s="72"/>
      <c r="H72" s="72"/>
      <c r="I72" s="72"/>
      <c r="J72" s="72"/>
      <c r="K72" s="72"/>
    </row>
    <row r="73" spans="1:14" ht="25" customHeight="1" x14ac:dyDescent="0.35">
      <c r="A73" s="61">
        <v>46</v>
      </c>
      <c r="B73" s="139" t="s">
        <v>116</v>
      </c>
      <c r="C73" s="85">
        <v>10</v>
      </c>
      <c r="D73" s="86">
        <v>10</v>
      </c>
      <c r="E73" s="86"/>
      <c r="F73" s="72"/>
      <c r="G73" s="72"/>
      <c r="H73" s="72"/>
      <c r="I73" s="72"/>
      <c r="J73" s="72"/>
      <c r="K73" s="72"/>
      <c r="L73" s="107"/>
      <c r="M73" s="108"/>
      <c r="N73" s="108"/>
    </row>
    <row r="74" spans="1:14" ht="41.5" customHeight="1" x14ac:dyDescent="0.35">
      <c r="A74" s="61">
        <v>47</v>
      </c>
      <c r="B74" s="141" t="s">
        <v>117</v>
      </c>
      <c r="C74" s="85">
        <v>5</v>
      </c>
      <c r="D74" s="86">
        <v>5</v>
      </c>
      <c r="E74" s="86"/>
      <c r="F74" s="72"/>
      <c r="G74" s="72"/>
      <c r="H74" s="72"/>
      <c r="I74" s="72"/>
      <c r="J74" s="72"/>
      <c r="K74" s="72"/>
    </row>
    <row r="75" spans="1:14" ht="25" customHeight="1" x14ac:dyDescent="0.35">
      <c r="A75" s="61">
        <v>48</v>
      </c>
      <c r="B75" s="96" t="s">
        <v>118</v>
      </c>
      <c r="C75" s="85">
        <v>5</v>
      </c>
      <c r="D75" s="86">
        <v>5</v>
      </c>
      <c r="E75" s="86"/>
      <c r="F75" s="72"/>
      <c r="G75" s="72"/>
      <c r="H75" s="72"/>
      <c r="I75" s="72"/>
      <c r="J75" s="72"/>
      <c r="K75" s="72"/>
    </row>
    <row r="76" spans="1:14" ht="46" customHeight="1" x14ac:dyDescent="0.35">
      <c r="A76" s="61">
        <v>49</v>
      </c>
      <c r="B76" s="96" t="s">
        <v>119</v>
      </c>
      <c r="C76" s="90">
        <v>0</v>
      </c>
      <c r="D76" s="91">
        <v>0</v>
      </c>
      <c r="E76" s="91" t="s">
        <v>63</v>
      </c>
      <c r="F76" s="76"/>
      <c r="G76" s="76"/>
      <c r="H76" s="76"/>
      <c r="I76" s="76"/>
      <c r="J76" s="76"/>
      <c r="K76" s="76"/>
    </row>
    <row r="77" spans="1:14" ht="30.75" customHeight="1" x14ac:dyDescent="0.35">
      <c r="A77" s="61"/>
      <c r="B77" s="77" t="s">
        <v>120</v>
      </c>
      <c r="C77" s="78">
        <f>SUM(C66:C76)</f>
        <v>60</v>
      </c>
      <c r="D77" s="78">
        <f>SUM(D66:D76)</f>
        <v>60</v>
      </c>
      <c r="E77" s="78"/>
      <c r="F77" s="79">
        <f>D77/C77</f>
        <v>1</v>
      </c>
      <c r="G77" s="79"/>
      <c r="H77" s="79"/>
      <c r="I77" s="79"/>
      <c r="J77" s="79"/>
      <c r="K77" s="79"/>
    </row>
    <row r="78" spans="1:14" ht="25" customHeight="1" x14ac:dyDescent="0.35">
      <c r="A78" s="61"/>
      <c r="B78" s="93" t="s">
        <v>121</v>
      </c>
      <c r="C78" s="94"/>
      <c r="D78" s="95"/>
      <c r="E78" s="95"/>
      <c r="F78" s="66"/>
      <c r="G78" s="67"/>
      <c r="H78" s="67"/>
      <c r="I78" s="67"/>
      <c r="J78" s="67"/>
      <c r="K78" s="67"/>
    </row>
    <row r="79" spans="1:14" ht="42.65" customHeight="1" x14ac:dyDescent="0.35">
      <c r="A79" s="61">
        <v>50</v>
      </c>
      <c r="B79" s="96" t="s">
        <v>122</v>
      </c>
      <c r="C79" s="85">
        <v>10</v>
      </c>
      <c r="D79" s="86">
        <v>10</v>
      </c>
      <c r="E79" s="86"/>
      <c r="F79" s="72"/>
      <c r="G79" s="72"/>
      <c r="H79" s="72"/>
      <c r="I79" s="72"/>
      <c r="J79" s="72"/>
      <c r="K79" s="72"/>
    </row>
    <row r="80" spans="1:14" ht="39" customHeight="1" x14ac:dyDescent="0.35">
      <c r="A80" s="61">
        <v>51</v>
      </c>
      <c r="B80" s="96" t="s">
        <v>123</v>
      </c>
      <c r="C80" s="85">
        <v>5</v>
      </c>
      <c r="D80" s="86">
        <v>5</v>
      </c>
      <c r="E80" s="86"/>
      <c r="F80" s="72"/>
      <c r="G80" s="72"/>
      <c r="H80" s="72"/>
      <c r="I80" s="72"/>
      <c r="J80" s="72"/>
      <c r="K80" s="72"/>
    </row>
    <row r="81" spans="1:11" ht="37" x14ac:dyDescent="0.35">
      <c r="A81" s="61">
        <v>52</v>
      </c>
      <c r="B81" s="137" t="s">
        <v>124</v>
      </c>
      <c r="C81" s="85">
        <v>5</v>
      </c>
      <c r="D81" s="86">
        <v>5</v>
      </c>
      <c r="E81" s="86"/>
      <c r="F81" s="72"/>
      <c r="G81" s="72"/>
      <c r="H81" s="72"/>
      <c r="I81" s="72"/>
      <c r="J81" s="72"/>
      <c r="K81" s="72"/>
    </row>
    <row r="82" spans="1:11" ht="25" customHeight="1" x14ac:dyDescent="0.35">
      <c r="A82" s="61">
        <v>53</v>
      </c>
      <c r="B82" s="137" t="s">
        <v>125</v>
      </c>
      <c r="C82" s="85">
        <v>5</v>
      </c>
      <c r="D82" s="86">
        <v>5</v>
      </c>
      <c r="E82" s="86"/>
      <c r="F82" s="72"/>
      <c r="G82" s="72"/>
      <c r="H82" s="72"/>
      <c r="I82" s="72"/>
      <c r="J82" s="72"/>
      <c r="K82" s="72"/>
    </row>
    <row r="83" spans="1:11" ht="25" customHeight="1" x14ac:dyDescent="0.35">
      <c r="A83" s="61">
        <v>54</v>
      </c>
      <c r="B83" s="137" t="s">
        <v>126</v>
      </c>
      <c r="C83" s="85">
        <v>5</v>
      </c>
      <c r="D83" s="86">
        <v>5</v>
      </c>
      <c r="E83" s="86"/>
      <c r="F83" s="72"/>
      <c r="G83" s="72"/>
      <c r="H83" s="72"/>
      <c r="I83" s="72"/>
      <c r="J83" s="72"/>
      <c r="K83" s="72"/>
    </row>
    <row r="84" spans="1:11" ht="25" customHeight="1" x14ac:dyDescent="0.35">
      <c r="A84" s="61">
        <v>55</v>
      </c>
      <c r="B84" s="137" t="s">
        <v>127</v>
      </c>
      <c r="C84" s="85">
        <v>5</v>
      </c>
      <c r="D84" s="86">
        <v>5</v>
      </c>
      <c r="E84" s="86"/>
      <c r="F84" s="72"/>
      <c r="G84" s="72"/>
      <c r="H84" s="72"/>
      <c r="I84" s="72"/>
      <c r="J84" s="72"/>
      <c r="K84" s="72"/>
    </row>
    <row r="85" spans="1:11" ht="37" x14ac:dyDescent="0.35">
      <c r="A85" s="61">
        <v>56</v>
      </c>
      <c r="B85" s="137" t="s">
        <v>128</v>
      </c>
      <c r="C85" s="85">
        <v>5</v>
      </c>
      <c r="D85" s="86">
        <v>5</v>
      </c>
      <c r="E85" s="86"/>
      <c r="F85" s="72"/>
      <c r="G85" s="72"/>
      <c r="H85" s="72"/>
      <c r="I85" s="72"/>
      <c r="J85" s="72"/>
      <c r="K85" s="72"/>
    </row>
    <row r="86" spans="1:11" ht="25" customHeight="1" x14ac:dyDescent="0.35">
      <c r="A86" s="61">
        <v>57</v>
      </c>
      <c r="B86" s="120" t="s">
        <v>129</v>
      </c>
      <c r="C86" s="85">
        <v>5</v>
      </c>
      <c r="D86" s="86">
        <v>5</v>
      </c>
      <c r="E86" s="86"/>
      <c r="F86" s="72"/>
      <c r="G86" s="72"/>
      <c r="H86" s="72"/>
      <c r="I86" s="72"/>
      <c r="J86" s="72"/>
      <c r="K86" s="72"/>
    </row>
    <row r="87" spans="1:11" ht="48.65" customHeight="1" x14ac:dyDescent="0.35">
      <c r="A87" s="61">
        <v>58</v>
      </c>
      <c r="B87" s="89" t="s">
        <v>130</v>
      </c>
      <c r="C87" s="90">
        <v>0</v>
      </c>
      <c r="D87" s="91">
        <v>0</v>
      </c>
      <c r="E87" s="91" t="s">
        <v>63</v>
      </c>
      <c r="F87" s="76"/>
      <c r="G87" s="76"/>
      <c r="H87" s="76"/>
      <c r="I87" s="76"/>
      <c r="J87" s="76"/>
      <c r="K87" s="76"/>
    </row>
    <row r="88" spans="1:11" ht="30.75" customHeight="1" x14ac:dyDescent="0.35">
      <c r="A88" s="61"/>
      <c r="B88" s="77" t="s">
        <v>131</v>
      </c>
      <c r="C88" s="78">
        <f>SUM(C79:C87)</f>
        <v>45</v>
      </c>
      <c r="D88" s="78">
        <f>SUM(D79:D87)</f>
        <v>45</v>
      </c>
      <c r="E88" s="78"/>
      <c r="F88" s="79">
        <f>D88/C88</f>
        <v>1</v>
      </c>
      <c r="G88" s="79"/>
      <c r="H88" s="79"/>
      <c r="I88" s="79"/>
      <c r="J88" s="79"/>
      <c r="K88" s="79"/>
    </row>
    <row r="89" spans="1:11" ht="25" customHeight="1" x14ac:dyDescent="0.35">
      <c r="A89" s="61"/>
      <c r="B89" s="93" t="s">
        <v>55</v>
      </c>
      <c r="C89" s="94"/>
      <c r="D89" s="95"/>
      <c r="E89" s="95"/>
      <c r="F89" s="66"/>
      <c r="G89" s="67"/>
      <c r="H89" s="67"/>
      <c r="I89" s="67"/>
      <c r="J89" s="67"/>
      <c r="K89" s="67"/>
    </row>
    <row r="90" spans="1:11" ht="25" customHeight="1" x14ac:dyDescent="0.35">
      <c r="A90" s="61">
        <v>59</v>
      </c>
      <c r="B90" s="92" t="s">
        <v>132</v>
      </c>
      <c r="C90" s="85">
        <v>10</v>
      </c>
      <c r="D90" s="86">
        <v>10</v>
      </c>
      <c r="E90" s="86"/>
      <c r="F90" s="72"/>
      <c r="G90" s="72"/>
      <c r="H90" s="72"/>
      <c r="I90" s="72"/>
      <c r="J90" s="72"/>
      <c r="K90" s="72"/>
    </row>
    <row r="91" spans="1:11" ht="32.5" customHeight="1" x14ac:dyDescent="0.35">
      <c r="A91" s="61">
        <v>60</v>
      </c>
      <c r="B91" s="87" t="s">
        <v>133</v>
      </c>
      <c r="C91" s="85">
        <v>10</v>
      </c>
      <c r="D91" s="86">
        <v>10</v>
      </c>
      <c r="E91" s="86"/>
      <c r="F91" s="72"/>
      <c r="G91" s="72"/>
      <c r="H91" s="72"/>
      <c r="I91" s="72"/>
      <c r="J91" s="72"/>
      <c r="K91" s="72"/>
    </row>
    <row r="92" spans="1:11" ht="47.5" customHeight="1" x14ac:dyDescent="0.35">
      <c r="A92" s="61">
        <v>61</v>
      </c>
      <c r="B92" s="150" t="s">
        <v>134</v>
      </c>
      <c r="C92" s="85">
        <v>5</v>
      </c>
      <c r="D92" s="86">
        <v>5</v>
      </c>
      <c r="E92" s="86"/>
      <c r="F92" s="72"/>
      <c r="G92" s="72"/>
      <c r="H92" s="72"/>
      <c r="I92" s="72"/>
      <c r="J92" s="72"/>
      <c r="K92" s="72"/>
    </row>
    <row r="93" spans="1:11" ht="42.65" customHeight="1" x14ac:dyDescent="0.35">
      <c r="A93" s="61">
        <v>62</v>
      </c>
      <c r="B93" s="150" t="s">
        <v>135</v>
      </c>
      <c r="C93" s="90">
        <v>20</v>
      </c>
      <c r="D93" s="91">
        <v>20</v>
      </c>
      <c r="E93" s="91"/>
      <c r="F93" s="72"/>
      <c r="G93" s="72"/>
      <c r="H93" s="72"/>
      <c r="I93" s="72"/>
      <c r="J93" s="72"/>
      <c r="K93" s="72"/>
    </row>
    <row r="94" spans="1:11" ht="25" customHeight="1" x14ac:dyDescent="0.35">
      <c r="A94" s="61">
        <v>63</v>
      </c>
      <c r="B94" s="124" t="s">
        <v>136</v>
      </c>
      <c r="C94" s="85">
        <v>5</v>
      </c>
      <c r="D94" s="86">
        <v>5</v>
      </c>
      <c r="E94" s="86"/>
      <c r="F94" s="72"/>
      <c r="G94" s="72"/>
      <c r="H94" s="72"/>
      <c r="I94" s="72"/>
      <c r="J94" s="72"/>
      <c r="K94" s="72"/>
    </row>
    <row r="95" spans="1:11" ht="25" customHeight="1" x14ac:dyDescent="0.35">
      <c r="A95" s="61">
        <v>64</v>
      </c>
      <c r="B95" s="150" t="s">
        <v>137</v>
      </c>
      <c r="C95" s="85">
        <v>5</v>
      </c>
      <c r="D95" s="86">
        <v>5</v>
      </c>
      <c r="E95" s="86"/>
      <c r="F95" s="72"/>
      <c r="G95" s="72"/>
      <c r="H95" s="72"/>
      <c r="I95" s="72"/>
      <c r="J95" s="72"/>
      <c r="K95" s="72"/>
    </row>
    <row r="96" spans="1:11" ht="25" customHeight="1" x14ac:dyDescent="0.35">
      <c r="A96" s="61">
        <v>65</v>
      </c>
      <c r="B96" s="150" t="s">
        <v>138</v>
      </c>
      <c r="C96" s="85">
        <v>5</v>
      </c>
      <c r="D96" s="86">
        <v>5</v>
      </c>
      <c r="E96" s="86"/>
      <c r="F96" s="72"/>
      <c r="G96" s="72"/>
      <c r="H96" s="72"/>
      <c r="I96" s="72"/>
      <c r="J96" s="72"/>
      <c r="K96" s="72"/>
    </row>
    <row r="97" spans="1:11" ht="52.5" customHeight="1" x14ac:dyDescent="0.35">
      <c r="A97" s="61">
        <v>66</v>
      </c>
      <c r="B97" s="150" t="s">
        <v>139</v>
      </c>
      <c r="C97" s="85">
        <v>5</v>
      </c>
      <c r="D97" s="86">
        <v>5</v>
      </c>
      <c r="E97" s="86"/>
      <c r="F97" s="72"/>
      <c r="G97" s="72"/>
      <c r="H97" s="72"/>
      <c r="I97" s="72"/>
      <c r="J97" s="72"/>
      <c r="K97" s="72"/>
    </row>
    <row r="98" spans="1:11" ht="25" customHeight="1" x14ac:dyDescent="0.35">
      <c r="A98" s="61">
        <v>67</v>
      </c>
      <c r="B98" s="150" t="s">
        <v>140</v>
      </c>
      <c r="C98" s="85">
        <v>5</v>
      </c>
      <c r="D98" s="86">
        <v>5</v>
      </c>
      <c r="E98" s="86"/>
      <c r="F98" s="72"/>
      <c r="G98" s="72"/>
      <c r="H98" s="72"/>
      <c r="I98" s="72"/>
      <c r="J98" s="72"/>
      <c r="K98" s="72"/>
    </row>
    <row r="99" spans="1:11" ht="44.5" customHeight="1" x14ac:dyDescent="0.35">
      <c r="A99" s="61">
        <v>68</v>
      </c>
      <c r="B99" s="152" t="s">
        <v>141</v>
      </c>
      <c r="C99" s="90">
        <v>20</v>
      </c>
      <c r="D99" s="91">
        <v>20</v>
      </c>
      <c r="E99" s="91"/>
      <c r="F99" s="76"/>
      <c r="G99" s="76"/>
      <c r="H99" s="76"/>
      <c r="I99" s="76"/>
      <c r="J99" s="76"/>
      <c r="K99" s="76"/>
    </row>
    <row r="100" spans="1:11" ht="30.75" customHeight="1" x14ac:dyDescent="0.35">
      <c r="A100" s="61"/>
      <c r="B100" s="77" t="s">
        <v>142</v>
      </c>
      <c r="C100" s="78">
        <f>SUM(C90:C99)</f>
        <v>90</v>
      </c>
      <c r="D100" s="78">
        <f>SUM(D90:D99)</f>
        <v>90</v>
      </c>
      <c r="E100" s="78"/>
      <c r="F100" s="79">
        <f>D100/C100</f>
        <v>1</v>
      </c>
      <c r="G100" s="79"/>
      <c r="H100" s="79"/>
      <c r="I100" s="79"/>
      <c r="J100" s="79"/>
      <c r="K100" s="79"/>
    </row>
    <row r="101" spans="1:11" ht="30.75" customHeight="1" x14ac:dyDescent="0.35">
      <c r="A101" s="61"/>
      <c r="B101" s="93" t="s">
        <v>57</v>
      </c>
      <c r="C101" s="94"/>
      <c r="D101" s="95"/>
      <c r="E101" s="95"/>
      <c r="F101" s="66"/>
      <c r="G101" s="67"/>
      <c r="H101" s="67"/>
      <c r="I101" s="67"/>
      <c r="J101" s="67"/>
      <c r="K101" s="67"/>
    </row>
    <row r="102" spans="1:11" ht="39.65" customHeight="1" x14ac:dyDescent="0.35">
      <c r="A102" s="61">
        <v>69</v>
      </c>
      <c r="B102" s="154" t="s">
        <v>143</v>
      </c>
      <c r="C102" s="86">
        <v>2</v>
      </c>
      <c r="D102" s="86">
        <v>2</v>
      </c>
      <c r="E102" s="86"/>
      <c r="F102" s="72"/>
      <c r="G102" s="72"/>
      <c r="H102" s="72"/>
      <c r="I102" s="72"/>
      <c r="J102" s="72"/>
      <c r="K102" s="72"/>
    </row>
    <row r="103" spans="1:11" ht="39.65" customHeight="1" x14ac:dyDescent="0.35">
      <c r="A103" s="61">
        <v>70</v>
      </c>
      <c r="B103" s="154" t="s">
        <v>144</v>
      </c>
      <c r="C103" s="86">
        <v>2</v>
      </c>
      <c r="D103" s="86">
        <v>2</v>
      </c>
      <c r="E103" s="86"/>
      <c r="F103" s="72"/>
      <c r="G103" s="72"/>
      <c r="H103" s="72"/>
      <c r="I103" s="72"/>
      <c r="J103" s="72"/>
      <c r="K103" s="72"/>
    </row>
    <row r="104" spans="1:11" ht="39.65" customHeight="1" x14ac:dyDescent="0.35">
      <c r="A104" s="61">
        <v>71</v>
      </c>
      <c r="B104" s="154" t="s">
        <v>145</v>
      </c>
      <c r="C104" s="86">
        <v>2</v>
      </c>
      <c r="D104" s="86">
        <v>2</v>
      </c>
      <c r="E104" s="86"/>
      <c r="F104" s="72"/>
      <c r="G104" s="72"/>
      <c r="H104" s="72"/>
      <c r="I104" s="72"/>
      <c r="J104" s="72"/>
      <c r="K104" s="72"/>
    </row>
    <row r="105" spans="1:11" ht="30.75" customHeight="1" x14ac:dyDescent="0.35">
      <c r="A105" s="61">
        <v>72</v>
      </c>
      <c r="B105" s="154" t="s">
        <v>146</v>
      </c>
      <c r="C105" s="86">
        <v>2</v>
      </c>
      <c r="D105" s="86">
        <v>2</v>
      </c>
      <c r="E105" s="86"/>
      <c r="F105" s="72"/>
      <c r="G105" s="72"/>
      <c r="H105" s="72"/>
      <c r="I105" s="72"/>
      <c r="J105" s="72"/>
      <c r="K105" s="72"/>
    </row>
    <row r="106" spans="1:11" ht="38.5" customHeight="1" x14ac:dyDescent="0.35">
      <c r="A106" s="61">
        <v>73</v>
      </c>
      <c r="B106" s="156" t="s">
        <v>147</v>
      </c>
      <c r="C106" s="86">
        <v>2</v>
      </c>
      <c r="D106" s="86">
        <v>2</v>
      </c>
      <c r="E106" s="86"/>
      <c r="F106" s="72"/>
      <c r="G106" s="72"/>
      <c r="H106" s="72"/>
      <c r="I106" s="72"/>
      <c r="J106" s="72"/>
      <c r="K106" s="72"/>
    </row>
    <row r="107" spans="1:11" ht="42.65" customHeight="1" x14ac:dyDescent="0.35">
      <c r="A107" s="61">
        <v>74</v>
      </c>
      <c r="B107" s="156" t="s">
        <v>148</v>
      </c>
      <c r="C107" s="86">
        <v>2</v>
      </c>
      <c r="D107" s="86">
        <v>2</v>
      </c>
      <c r="E107" s="86"/>
      <c r="F107" s="72"/>
      <c r="G107" s="72"/>
      <c r="H107" s="72"/>
      <c r="I107" s="72"/>
      <c r="J107" s="72"/>
      <c r="K107" s="72"/>
    </row>
    <row r="108" spans="1:11" ht="37.5" customHeight="1" x14ac:dyDescent="0.35">
      <c r="A108" s="61">
        <v>75</v>
      </c>
      <c r="B108" s="150" t="s">
        <v>149</v>
      </c>
      <c r="C108" s="86">
        <v>2</v>
      </c>
      <c r="D108" s="86">
        <v>2</v>
      </c>
      <c r="E108" s="86"/>
      <c r="F108" s="72"/>
      <c r="G108" s="72"/>
      <c r="H108" s="72"/>
      <c r="I108" s="72"/>
      <c r="J108" s="72"/>
      <c r="K108" s="72"/>
    </row>
    <row r="109" spans="1:11" ht="43.5" customHeight="1" x14ac:dyDescent="0.35">
      <c r="A109" s="61">
        <v>76</v>
      </c>
      <c r="B109" s="154" t="s">
        <v>150</v>
      </c>
      <c r="C109" s="86">
        <v>2</v>
      </c>
      <c r="D109" s="86">
        <v>2</v>
      </c>
      <c r="E109" s="86"/>
      <c r="F109" s="72"/>
      <c r="G109" s="72"/>
      <c r="H109" s="72"/>
      <c r="I109" s="72"/>
      <c r="J109" s="72"/>
      <c r="K109" s="72"/>
    </row>
    <row r="110" spans="1:11" ht="43.5" customHeight="1" x14ac:dyDescent="0.35">
      <c r="A110" s="61">
        <v>77</v>
      </c>
      <c r="B110" s="154" t="s">
        <v>151</v>
      </c>
      <c r="C110" s="86">
        <v>2</v>
      </c>
      <c r="D110" s="86">
        <v>2</v>
      </c>
      <c r="E110" s="86"/>
      <c r="F110" s="72"/>
      <c r="G110" s="72"/>
      <c r="H110" s="72"/>
      <c r="I110" s="72"/>
      <c r="J110" s="72"/>
      <c r="K110" s="72"/>
    </row>
    <row r="111" spans="1:11" ht="43.5" customHeight="1" x14ac:dyDescent="0.35">
      <c r="A111" s="61">
        <v>78</v>
      </c>
      <c r="B111" s="154" t="s">
        <v>152</v>
      </c>
      <c r="C111" s="86">
        <v>2</v>
      </c>
      <c r="D111" s="86">
        <v>2</v>
      </c>
      <c r="E111" s="86"/>
      <c r="F111" s="72"/>
      <c r="G111" s="72"/>
      <c r="H111" s="72"/>
      <c r="I111" s="72"/>
      <c r="J111" s="72"/>
      <c r="K111" s="72"/>
    </row>
    <row r="112" spans="1:11" ht="43.5" customHeight="1" x14ac:dyDescent="0.35">
      <c r="A112" s="61">
        <v>79</v>
      </c>
      <c r="B112" s="154" t="s">
        <v>153</v>
      </c>
      <c r="C112" s="86">
        <v>2</v>
      </c>
      <c r="D112" s="86">
        <v>2</v>
      </c>
      <c r="E112" s="86"/>
      <c r="F112" s="72"/>
      <c r="G112" s="72"/>
      <c r="H112" s="72"/>
      <c r="I112" s="72"/>
      <c r="J112" s="72"/>
      <c r="K112" s="72"/>
    </row>
    <row r="113" spans="1:11" ht="30.75" customHeight="1" x14ac:dyDescent="0.35">
      <c r="A113" s="61">
        <v>80</v>
      </c>
      <c r="B113" s="154" t="s">
        <v>154</v>
      </c>
      <c r="C113" s="86">
        <v>2</v>
      </c>
      <c r="D113" s="86">
        <v>2</v>
      </c>
      <c r="E113" s="86"/>
      <c r="F113" s="72"/>
      <c r="G113" s="72"/>
      <c r="H113" s="72"/>
      <c r="I113" s="72"/>
      <c r="J113" s="72"/>
      <c r="K113" s="72"/>
    </row>
    <row r="114" spans="1:11" ht="30.75" customHeight="1" x14ac:dyDescent="0.35">
      <c r="A114" s="61"/>
      <c r="B114" s="77" t="s">
        <v>155</v>
      </c>
      <c r="C114" s="78">
        <f>SUM(C102:C113)</f>
        <v>24</v>
      </c>
      <c r="D114" s="78">
        <f>SUM(D102:D113)</f>
        <v>24</v>
      </c>
      <c r="E114" s="78"/>
      <c r="F114" s="79">
        <f>D114/C114</f>
        <v>1</v>
      </c>
      <c r="G114" s="79"/>
      <c r="H114" s="79"/>
      <c r="I114" s="79"/>
      <c r="J114" s="79"/>
      <c r="K114" s="79"/>
    </row>
    <row r="115" spans="1:11" ht="30.75" customHeight="1" x14ac:dyDescent="0.35">
      <c r="A115" s="61"/>
      <c r="B115" s="109" t="s">
        <v>156</v>
      </c>
      <c r="C115" s="109">
        <f>C30+C41+C48+C64+C77+C88+C100+C114</f>
        <v>539</v>
      </c>
      <c r="D115" s="109">
        <f>D30+D41+D48+D64+D77+D88+D100+D114</f>
        <v>539</v>
      </c>
      <c r="E115" s="109"/>
      <c r="F115" s="110">
        <f>D115/C115</f>
        <v>1</v>
      </c>
      <c r="G115" s="110"/>
      <c r="H115" s="110"/>
      <c r="I115" s="110"/>
      <c r="J115" s="110"/>
      <c r="K115" s="110"/>
    </row>
    <row r="116" spans="1:11" s="56" customFormat="1" ht="25.5" customHeight="1" x14ac:dyDescent="0.35">
      <c r="A116" s="111"/>
      <c r="B116" s="112"/>
      <c r="C116" s="111"/>
      <c r="F116" s="111"/>
    </row>
    <row r="117" spans="1:11" s="56" customFormat="1" x14ac:dyDescent="0.35">
      <c r="A117" s="111"/>
      <c r="B117" s="112"/>
      <c r="C117" s="111"/>
      <c r="F117" s="111"/>
    </row>
    <row r="118" spans="1:11" s="56" customFormat="1" x14ac:dyDescent="0.35">
      <c r="A118" s="111"/>
      <c r="B118" s="112"/>
      <c r="C118" s="111"/>
      <c r="F118" s="111"/>
    </row>
    <row r="119" spans="1:11" s="56" customFormat="1" x14ac:dyDescent="0.35">
      <c r="A119" s="111"/>
      <c r="B119" s="112"/>
      <c r="C119" s="111"/>
      <c r="F119" s="111"/>
    </row>
    <row r="120" spans="1:11" s="56" customFormat="1" x14ac:dyDescent="0.35">
      <c r="A120" s="111"/>
      <c r="B120" s="112"/>
      <c r="C120" s="111"/>
      <c r="F120" s="111"/>
    </row>
    <row r="121" spans="1:11" s="56" customFormat="1" x14ac:dyDescent="0.35">
      <c r="A121" s="111"/>
      <c r="B121" s="112"/>
      <c r="C121" s="111"/>
      <c r="F121" s="111"/>
    </row>
    <row r="122" spans="1:11" s="56" customFormat="1" x14ac:dyDescent="0.35">
      <c r="A122" s="111"/>
      <c r="B122" s="112"/>
      <c r="C122" s="111"/>
      <c r="F122" s="111"/>
    </row>
    <row r="123" spans="1:11" s="56" customFormat="1" x14ac:dyDescent="0.35">
      <c r="A123" s="111"/>
      <c r="B123" s="112"/>
      <c r="C123" s="111"/>
      <c r="F123" s="111"/>
    </row>
    <row r="124" spans="1:11" s="56" customFormat="1" x14ac:dyDescent="0.35">
      <c r="A124" s="111"/>
      <c r="B124" s="112"/>
      <c r="C124" s="111"/>
      <c r="F124" s="111"/>
    </row>
    <row r="125" spans="1:11" s="56" customFormat="1" x14ac:dyDescent="0.35">
      <c r="A125" s="111"/>
      <c r="B125" s="112"/>
      <c r="C125" s="111"/>
      <c r="F125" s="111"/>
    </row>
    <row r="126" spans="1:11" s="56" customFormat="1" x14ac:dyDescent="0.35">
      <c r="A126" s="111"/>
      <c r="B126" s="112"/>
      <c r="C126" s="111"/>
      <c r="F126" s="111"/>
    </row>
    <row r="127" spans="1:11" s="56" customFormat="1" x14ac:dyDescent="0.35">
      <c r="A127" s="111"/>
      <c r="B127" s="112"/>
      <c r="C127" s="111"/>
      <c r="F127" s="111"/>
    </row>
    <row r="128" spans="1:11" s="56" customFormat="1" x14ac:dyDescent="0.35">
      <c r="A128" s="111"/>
      <c r="B128" s="112"/>
      <c r="C128" s="111"/>
      <c r="F128" s="111"/>
    </row>
    <row r="129" spans="1:6" s="56" customFormat="1" x14ac:dyDescent="0.35">
      <c r="A129" s="111"/>
      <c r="B129" s="112"/>
      <c r="C129" s="111"/>
      <c r="F129" s="111"/>
    </row>
    <row r="130" spans="1:6" s="56" customFormat="1" x14ac:dyDescent="0.35">
      <c r="A130" s="111"/>
      <c r="B130" s="112"/>
      <c r="C130" s="111"/>
      <c r="F130" s="111"/>
    </row>
    <row r="131" spans="1:6" s="56" customFormat="1" x14ac:dyDescent="0.35">
      <c r="A131" s="111"/>
      <c r="B131" s="112"/>
      <c r="C131" s="111"/>
      <c r="F131" s="111"/>
    </row>
    <row r="132" spans="1:6" s="56" customFormat="1" x14ac:dyDescent="0.35">
      <c r="A132" s="111"/>
      <c r="B132" s="112"/>
      <c r="C132" s="111"/>
      <c r="F132" s="111"/>
    </row>
    <row r="133" spans="1:6" s="56" customFormat="1" x14ac:dyDescent="0.35">
      <c r="A133" s="111"/>
      <c r="B133" s="112"/>
      <c r="C133" s="111"/>
      <c r="F133" s="111"/>
    </row>
    <row r="134" spans="1:6" s="56" customFormat="1" x14ac:dyDescent="0.35">
      <c r="A134" s="111"/>
      <c r="B134" s="112"/>
      <c r="C134" s="111"/>
      <c r="F134" s="111"/>
    </row>
    <row r="135" spans="1:6" s="56" customFormat="1" x14ac:dyDescent="0.35">
      <c r="A135" s="111"/>
      <c r="B135" s="112"/>
      <c r="C135" s="111"/>
      <c r="F135" s="111"/>
    </row>
    <row r="136" spans="1:6" s="56" customFormat="1" x14ac:dyDescent="0.35">
      <c r="A136" s="111"/>
      <c r="B136" s="112"/>
      <c r="C136" s="111"/>
      <c r="F136" s="111"/>
    </row>
    <row r="137" spans="1:6" s="56" customFormat="1" x14ac:dyDescent="0.35">
      <c r="A137" s="111"/>
      <c r="B137" s="112"/>
      <c r="C137" s="111"/>
      <c r="F137" s="111"/>
    </row>
    <row r="138" spans="1:6" s="56" customFormat="1" x14ac:dyDescent="0.35">
      <c r="A138" s="111"/>
      <c r="B138" s="112"/>
      <c r="C138" s="111"/>
      <c r="F138" s="111"/>
    </row>
    <row r="139" spans="1:6" s="56" customFormat="1" x14ac:dyDescent="0.35">
      <c r="A139" s="111"/>
      <c r="B139" s="112"/>
      <c r="C139" s="111"/>
      <c r="F139" s="111"/>
    </row>
    <row r="140" spans="1:6" s="56" customFormat="1" x14ac:dyDescent="0.35">
      <c r="A140" s="111"/>
      <c r="B140" s="112"/>
      <c r="C140" s="111"/>
      <c r="F140" s="111"/>
    </row>
    <row r="141" spans="1:6" s="56" customFormat="1" x14ac:dyDescent="0.35">
      <c r="A141" s="111"/>
      <c r="B141" s="112"/>
      <c r="C141" s="111"/>
      <c r="F141" s="111"/>
    </row>
    <row r="142" spans="1:6" s="56" customFormat="1" x14ac:dyDescent="0.35">
      <c r="A142" s="111"/>
      <c r="B142" s="112"/>
      <c r="C142" s="111"/>
      <c r="F142" s="111"/>
    </row>
    <row r="143" spans="1:6" s="56" customFormat="1" x14ac:dyDescent="0.35">
      <c r="A143" s="111"/>
      <c r="B143" s="112"/>
      <c r="C143" s="111"/>
      <c r="F143" s="111"/>
    </row>
    <row r="144" spans="1:6" s="56" customFormat="1" x14ac:dyDescent="0.35">
      <c r="A144" s="111"/>
      <c r="B144" s="112"/>
      <c r="C144" s="111"/>
      <c r="F144" s="111"/>
    </row>
    <row r="145" spans="1:6" s="56" customFormat="1" x14ac:dyDescent="0.35">
      <c r="A145" s="111"/>
      <c r="B145" s="112"/>
      <c r="C145" s="111"/>
      <c r="F145" s="111"/>
    </row>
    <row r="146" spans="1:6" s="56" customFormat="1" x14ac:dyDescent="0.35">
      <c r="A146" s="111"/>
      <c r="B146" s="112"/>
      <c r="C146" s="111"/>
      <c r="F146" s="111"/>
    </row>
    <row r="147" spans="1:6" s="56" customFormat="1" x14ac:dyDescent="0.35">
      <c r="A147" s="111"/>
      <c r="B147" s="112"/>
      <c r="C147" s="111"/>
      <c r="F147" s="111"/>
    </row>
    <row r="148" spans="1:6" s="56" customFormat="1" x14ac:dyDescent="0.35">
      <c r="A148" s="111"/>
      <c r="B148" s="112"/>
      <c r="C148" s="111"/>
      <c r="F148" s="111"/>
    </row>
    <row r="149" spans="1:6" s="56" customFormat="1" x14ac:dyDescent="0.35">
      <c r="A149" s="111"/>
      <c r="B149" s="112"/>
      <c r="C149" s="111"/>
      <c r="F149" s="111"/>
    </row>
    <row r="150" spans="1:6" s="56" customFormat="1" x14ac:dyDescent="0.35">
      <c r="A150" s="111"/>
      <c r="B150" s="112"/>
      <c r="C150" s="111"/>
      <c r="F150" s="111"/>
    </row>
    <row r="151" spans="1:6" s="56" customFormat="1" x14ac:dyDescent="0.35">
      <c r="A151" s="111"/>
      <c r="B151" s="112"/>
      <c r="C151" s="111"/>
      <c r="F151" s="111"/>
    </row>
    <row r="152" spans="1:6" s="56" customFormat="1" x14ac:dyDescent="0.35">
      <c r="A152" s="111"/>
      <c r="B152" s="112"/>
      <c r="C152" s="111"/>
      <c r="F152" s="111"/>
    </row>
    <row r="153" spans="1:6" s="56" customFormat="1" x14ac:dyDescent="0.35">
      <c r="A153" s="111"/>
      <c r="B153" s="112"/>
      <c r="C153" s="111"/>
      <c r="F153" s="111"/>
    </row>
    <row r="154" spans="1:6" s="56" customFormat="1" x14ac:dyDescent="0.35">
      <c r="A154" s="111"/>
      <c r="B154" s="112"/>
      <c r="C154" s="111"/>
      <c r="F154" s="111"/>
    </row>
    <row r="155" spans="1:6" s="56" customFormat="1" x14ac:dyDescent="0.35">
      <c r="A155" s="111"/>
      <c r="B155" s="112"/>
      <c r="C155" s="111"/>
      <c r="F155" s="111"/>
    </row>
    <row r="156" spans="1:6" s="56" customFormat="1" x14ac:dyDescent="0.35">
      <c r="A156" s="111"/>
      <c r="B156" s="112"/>
      <c r="C156" s="111"/>
      <c r="F156" s="111"/>
    </row>
    <row r="157" spans="1:6" s="56" customFormat="1" x14ac:dyDescent="0.35">
      <c r="A157" s="111"/>
      <c r="B157" s="112"/>
      <c r="C157" s="111"/>
      <c r="F157" s="111"/>
    </row>
    <row r="158" spans="1:6" s="56" customFormat="1" x14ac:dyDescent="0.35">
      <c r="A158" s="111"/>
      <c r="B158" s="112"/>
      <c r="C158" s="111"/>
      <c r="F158" s="111"/>
    </row>
    <row r="159" spans="1:6" s="56" customFormat="1" x14ac:dyDescent="0.35">
      <c r="A159" s="111"/>
      <c r="B159" s="112"/>
      <c r="C159" s="111"/>
      <c r="F159" s="111"/>
    </row>
    <row r="160" spans="1:6" s="56" customFormat="1" x14ac:dyDescent="0.35">
      <c r="A160" s="111"/>
      <c r="B160" s="112"/>
      <c r="C160" s="111"/>
      <c r="F160" s="111"/>
    </row>
    <row r="161" spans="1:6" s="56" customFormat="1" x14ac:dyDescent="0.35">
      <c r="A161" s="111"/>
      <c r="B161" s="112"/>
      <c r="C161" s="111"/>
      <c r="F161" s="111"/>
    </row>
    <row r="162" spans="1:6" s="56" customFormat="1" x14ac:dyDescent="0.35">
      <c r="A162" s="111"/>
      <c r="B162" s="112"/>
      <c r="C162" s="111"/>
      <c r="F162" s="111"/>
    </row>
    <row r="163" spans="1:6" s="56" customFormat="1" x14ac:dyDescent="0.35">
      <c r="A163" s="111"/>
      <c r="B163" s="112"/>
      <c r="C163" s="111"/>
      <c r="F163" s="111"/>
    </row>
    <row r="164" spans="1:6" s="56" customFormat="1" x14ac:dyDescent="0.35">
      <c r="A164" s="111"/>
      <c r="B164" s="112"/>
      <c r="C164" s="111"/>
      <c r="F164" s="111"/>
    </row>
    <row r="165" spans="1:6" s="56" customFormat="1" x14ac:dyDescent="0.35">
      <c r="A165" s="111"/>
      <c r="B165" s="112"/>
      <c r="C165" s="111"/>
      <c r="F165" s="111"/>
    </row>
    <row r="166" spans="1:6" s="56" customFormat="1" x14ac:dyDescent="0.35">
      <c r="A166" s="111"/>
      <c r="B166" s="112"/>
      <c r="C166" s="111"/>
      <c r="F166" s="111"/>
    </row>
    <row r="167" spans="1:6" s="56" customFormat="1" x14ac:dyDescent="0.35">
      <c r="A167" s="111"/>
      <c r="B167" s="112"/>
      <c r="C167" s="111"/>
      <c r="F167" s="111"/>
    </row>
    <row r="168" spans="1:6" s="56" customFormat="1" x14ac:dyDescent="0.35">
      <c r="A168" s="111"/>
      <c r="B168" s="112"/>
      <c r="C168" s="111"/>
      <c r="F168" s="111"/>
    </row>
    <row r="169" spans="1:6" s="56" customFormat="1" x14ac:dyDescent="0.35">
      <c r="A169" s="111"/>
      <c r="B169" s="112"/>
      <c r="C169" s="111"/>
      <c r="F169" s="111"/>
    </row>
    <row r="170" spans="1:6" s="56" customFormat="1" x14ac:dyDescent="0.35">
      <c r="A170" s="111"/>
      <c r="B170" s="112"/>
      <c r="C170" s="111"/>
      <c r="F170" s="111"/>
    </row>
    <row r="171" spans="1:6" s="56" customFormat="1" x14ac:dyDescent="0.35">
      <c r="A171" s="111"/>
      <c r="B171" s="112"/>
      <c r="C171" s="111"/>
      <c r="F171" s="111"/>
    </row>
    <row r="172" spans="1:6" s="56" customFormat="1" x14ac:dyDescent="0.35">
      <c r="A172" s="111"/>
      <c r="B172" s="112"/>
      <c r="C172" s="111"/>
      <c r="F172" s="111"/>
    </row>
    <row r="173" spans="1:6" s="56" customFormat="1" x14ac:dyDescent="0.35">
      <c r="A173" s="111"/>
      <c r="B173" s="112"/>
      <c r="C173" s="111"/>
      <c r="F173" s="111"/>
    </row>
    <row r="174" spans="1:6" s="56" customFormat="1" x14ac:dyDescent="0.35">
      <c r="A174" s="111"/>
      <c r="B174" s="112"/>
      <c r="C174" s="111"/>
      <c r="F174" s="111"/>
    </row>
    <row r="175" spans="1:6" s="56" customFormat="1" x14ac:dyDescent="0.35">
      <c r="A175" s="111"/>
      <c r="B175" s="112"/>
      <c r="C175" s="111"/>
      <c r="F175" s="111"/>
    </row>
    <row r="176" spans="1:6" s="56" customFormat="1" x14ac:dyDescent="0.35">
      <c r="A176" s="111"/>
      <c r="B176" s="112"/>
      <c r="C176" s="111"/>
      <c r="F176" s="111"/>
    </row>
    <row r="177" spans="1:6" s="56" customFormat="1" x14ac:dyDescent="0.35">
      <c r="A177" s="111"/>
      <c r="B177" s="112"/>
      <c r="C177" s="111"/>
      <c r="F177" s="111"/>
    </row>
    <row r="178" spans="1:6" s="56" customFormat="1" x14ac:dyDescent="0.35">
      <c r="A178" s="111"/>
      <c r="B178" s="112"/>
      <c r="C178" s="111"/>
      <c r="F178" s="111"/>
    </row>
    <row r="179" spans="1:6" s="56" customFormat="1" x14ac:dyDescent="0.35">
      <c r="A179" s="111"/>
      <c r="B179" s="112"/>
      <c r="C179" s="111"/>
      <c r="F179" s="111"/>
    </row>
    <row r="180" spans="1:6" s="56" customFormat="1" x14ac:dyDescent="0.35">
      <c r="A180" s="111"/>
      <c r="B180" s="112"/>
      <c r="C180" s="111"/>
      <c r="F180" s="111"/>
    </row>
    <row r="181" spans="1:6" s="56" customFormat="1" x14ac:dyDescent="0.35">
      <c r="A181" s="111"/>
      <c r="B181" s="112"/>
      <c r="C181" s="111"/>
      <c r="F181" s="111"/>
    </row>
    <row r="182" spans="1:6" s="56" customFormat="1" x14ac:dyDescent="0.35">
      <c r="A182" s="111"/>
      <c r="B182" s="112"/>
      <c r="C182" s="111"/>
      <c r="F182" s="111"/>
    </row>
    <row r="183" spans="1:6" s="56" customFormat="1" x14ac:dyDescent="0.35">
      <c r="A183" s="111"/>
      <c r="B183" s="112"/>
      <c r="C183" s="111"/>
      <c r="F183" s="111"/>
    </row>
    <row r="184" spans="1:6" s="56" customFormat="1" x14ac:dyDescent="0.35">
      <c r="A184" s="111"/>
      <c r="B184" s="112"/>
      <c r="C184" s="111"/>
      <c r="F184" s="111"/>
    </row>
    <row r="185" spans="1:6" s="56" customFormat="1" x14ac:dyDescent="0.35">
      <c r="A185" s="111"/>
      <c r="B185" s="112"/>
      <c r="C185" s="111"/>
      <c r="F185" s="111"/>
    </row>
    <row r="186" spans="1:6" s="56" customFormat="1" x14ac:dyDescent="0.35">
      <c r="A186" s="111"/>
      <c r="B186" s="112"/>
      <c r="C186" s="111"/>
      <c r="F186" s="111"/>
    </row>
    <row r="187" spans="1:6" s="56" customFormat="1" x14ac:dyDescent="0.35">
      <c r="A187" s="111"/>
      <c r="B187" s="112"/>
      <c r="C187" s="111"/>
      <c r="F187" s="111"/>
    </row>
    <row r="188" spans="1:6" s="56" customFormat="1" x14ac:dyDescent="0.35">
      <c r="A188" s="111"/>
      <c r="B188" s="112"/>
      <c r="C188" s="111"/>
      <c r="F188" s="111"/>
    </row>
    <row r="189" spans="1:6" s="56" customFormat="1" x14ac:dyDescent="0.35">
      <c r="A189" s="111"/>
      <c r="B189" s="112"/>
      <c r="C189" s="111"/>
      <c r="F189" s="111"/>
    </row>
    <row r="190" spans="1:6" s="56" customFormat="1" x14ac:dyDescent="0.35">
      <c r="A190" s="111"/>
      <c r="B190" s="112"/>
      <c r="C190" s="111"/>
      <c r="F190" s="111"/>
    </row>
    <row r="191" spans="1:6" s="56" customFormat="1" x14ac:dyDescent="0.35">
      <c r="A191" s="111"/>
      <c r="B191" s="112"/>
      <c r="C191" s="111"/>
      <c r="F191" s="111"/>
    </row>
    <row r="192" spans="1:6" s="56" customFormat="1" x14ac:dyDescent="0.35">
      <c r="A192" s="111"/>
      <c r="B192" s="112"/>
      <c r="C192" s="111"/>
      <c r="F192" s="111"/>
    </row>
    <row r="193" spans="1:6" s="56" customFormat="1" x14ac:dyDescent="0.35">
      <c r="A193" s="111"/>
      <c r="B193" s="112"/>
      <c r="C193" s="111"/>
      <c r="F193" s="111"/>
    </row>
    <row r="194" spans="1:6" s="56" customFormat="1" x14ac:dyDescent="0.35">
      <c r="A194" s="111"/>
      <c r="B194" s="112"/>
      <c r="C194" s="111"/>
      <c r="F194" s="111"/>
    </row>
    <row r="195" spans="1:6" s="56" customFormat="1" x14ac:dyDescent="0.35">
      <c r="A195" s="111"/>
      <c r="B195" s="112"/>
      <c r="C195" s="111"/>
      <c r="F195" s="111"/>
    </row>
    <row r="196" spans="1:6" s="56" customFormat="1" x14ac:dyDescent="0.35">
      <c r="A196" s="111"/>
      <c r="B196" s="112"/>
      <c r="C196" s="111"/>
      <c r="F196" s="111"/>
    </row>
    <row r="197" spans="1:6" s="56" customFormat="1" x14ac:dyDescent="0.35">
      <c r="A197" s="111"/>
      <c r="B197" s="112"/>
      <c r="C197" s="111"/>
      <c r="F197" s="111"/>
    </row>
    <row r="198" spans="1:6" s="56" customFormat="1" x14ac:dyDescent="0.35">
      <c r="A198" s="111"/>
      <c r="B198" s="112"/>
      <c r="C198" s="111"/>
      <c r="F198" s="111"/>
    </row>
    <row r="199" spans="1:6" s="56" customFormat="1" x14ac:dyDescent="0.35">
      <c r="A199" s="111"/>
      <c r="B199" s="112"/>
      <c r="C199" s="111"/>
      <c r="F199" s="111"/>
    </row>
    <row r="200" spans="1:6" s="56" customFormat="1" x14ac:dyDescent="0.35">
      <c r="A200" s="111"/>
      <c r="B200" s="112"/>
      <c r="C200" s="111"/>
      <c r="F200" s="111"/>
    </row>
    <row r="201" spans="1:6" s="56" customFormat="1" x14ac:dyDescent="0.35">
      <c r="A201" s="111"/>
      <c r="B201" s="112"/>
      <c r="C201" s="111"/>
      <c r="F201" s="111"/>
    </row>
    <row r="202" spans="1:6" s="56" customFormat="1" x14ac:dyDescent="0.35">
      <c r="A202" s="111"/>
      <c r="B202" s="112"/>
      <c r="C202" s="111"/>
      <c r="F202" s="111"/>
    </row>
    <row r="203" spans="1:6" s="56" customFormat="1" x14ac:dyDescent="0.35">
      <c r="A203" s="111"/>
      <c r="B203" s="112"/>
      <c r="C203" s="111"/>
      <c r="F203" s="111"/>
    </row>
    <row r="204" spans="1:6" s="56" customFormat="1" x14ac:dyDescent="0.35">
      <c r="A204" s="111"/>
      <c r="B204" s="112"/>
      <c r="C204" s="111"/>
      <c r="F204" s="111"/>
    </row>
    <row r="205" spans="1:6" s="56" customFormat="1" x14ac:dyDescent="0.35">
      <c r="A205" s="111"/>
      <c r="B205" s="112"/>
      <c r="C205" s="111"/>
      <c r="F205" s="111"/>
    </row>
    <row r="206" spans="1:6" s="56" customFormat="1" x14ac:dyDescent="0.35">
      <c r="A206" s="111"/>
      <c r="B206" s="112"/>
      <c r="C206" s="111"/>
      <c r="F206" s="111"/>
    </row>
    <row r="207" spans="1:6" s="56" customFormat="1" x14ac:dyDescent="0.35">
      <c r="A207" s="111"/>
      <c r="B207" s="112"/>
      <c r="C207" s="111"/>
      <c r="F207" s="111"/>
    </row>
    <row r="208" spans="1:6" s="56" customFormat="1" x14ac:dyDescent="0.35">
      <c r="A208" s="111"/>
      <c r="B208" s="112"/>
      <c r="C208" s="111"/>
      <c r="F208" s="111"/>
    </row>
    <row r="209" spans="1:6" s="56" customFormat="1" x14ac:dyDescent="0.35">
      <c r="A209" s="111"/>
      <c r="B209" s="112"/>
      <c r="C209" s="111"/>
      <c r="F209" s="111"/>
    </row>
    <row r="210" spans="1:6" s="56" customFormat="1" x14ac:dyDescent="0.35">
      <c r="A210" s="111"/>
      <c r="B210" s="112"/>
      <c r="C210" s="111"/>
      <c r="F210" s="111"/>
    </row>
    <row r="211" spans="1:6" s="56" customFormat="1" x14ac:dyDescent="0.35">
      <c r="A211" s="111"/>
      <c r="B211" s="112"/>
      <c r="C211" s="111"/>
      <c r="F211" s="111"/>
    </row>
    <row r="212" spans="1:6" s="56" customFormat="1" x14ac:dyDescent="0.35">
      <c r="A212" s="111"/>
      <c r="B212" s="112"/>
      <c r="C212" s="111"/>
      <c r="F212" s="111"/>
    </row>
    <row r="213" spans="1:6" s="56" customFormat="1" x14ac:dyDescent="0.35">
      <c r="A213" s="111"/>
      <c r="B213" s="112"/>
      <c r="C213" s="111"/>
      <c r="F213" s="111"/>
    </row>
    <row r="214" spans="1:6" s="56" customFormat="1" x14ac:dyDescent="0.35">
      <c r="A214" s="111"/>
      <c r="B214" s="112"/>
      <c r="C214" s="111"/>
      <c r="F214" s="111"/>
    </row>
    <row r="215" spans="1:6" s="56" customFormat="1" x14ac:dyDescent="0.35">
      <c r="A215" s="111"/>
      <c r="B215" s="112"/>
      <c r="C215" s="111"/>
      <c r="F215" s="111"/>
    </row>
    <row r="216" spans="1:6" s="56" customFormat="1" x14ac:dyDescent="0.35">
      <c r="A216" s="111"/>
      <c r="B216" s="112"/>
      <c r="C216" s="111"/>
      <c r="F216" s="111"/>
    </row>
    <row r="217" spans="1:6" s="56" customFormat="1" x14ac:dyDescent="0.35">
      <c r="A217" s="111"/>
      <c r="B217" s="112"/>
      <c r="C217" s="111"/>
      <c r="F217" s="111"/>
    </row>
    <row r="218" spans="1:6" s="56" customFormat="1" x14ac:dyDescent="0.35">
      <c r="A218" s="111"/>
      <c r="B218" s="112"/>
      <c r="C218" s="111"/>
      <c r="F218" s="111"/>
    </row>
    <row r="219" spans="1:6" s="56" customFormat="1" x14ac:dyDescent="0.35">
      <c r="A219" s="111"/>
      <c r="B219" s="112"/>
      <c r="C219" s="111"/>
      <c r="F219" s="111"/>
    </row>
    <row r="220" spans="1:6" s="56" customFormat="1" x14ac:dyDescent="0.35">
      <c r="A220" s="111"/>
      <c r="B220" s="112"/>
      <c r="C220" s="111"/>
      <c r="F220" s="111"/>
    </row>
    <row r="221" spans="1:6" s="56" customFormat="1" x14ac:dyDescent="0.35">
      <c r="A221" s="111"/>
      <c r="B221" s="112"/>
      <c r="C221" s="111"/>
      <c r="F221" s="111"/>
    </row>
    <row r="222" spans="1:6" s="56" customFormat="1" x14ac:dyDescent="0.35">
      <c r="A222" s="111"/>
      <c r="B222" s="112"/>
      <c r="C222" s="111"/>
      <c r="F222" s="111"/>
    </row>
    <row r="223" spans="1:6" s="56" customFormat="1" x14ac:dyDescent="0.35">
      <c r="A223" s="111"/>
      <c r="B223" s="112"/>
      <c r="C223" s="111"/>
      <c r="F223" s="111"/>
    </row>
    <row r="224" spans="1:6" s="56" customFormat="1" x14ac:dyDescent="0.35">
      <c r="A224" s="111"/>
      <c r="B224" s="112"/>
      <c r="C224" s="111"/>
      <c r="F224" s="111"/>
    </row>
    <row r="225" spans="1:6" s="56" customFormat="1" x14ac:dyDescent="0.35">
      <c r="A225" s="111"/>
      <c r="B225" s="112"/>
      <c r="C225" s="111"/>
      <c r="F225" s="111"/>
    </row>
    <row r="226" spans="1:6" s="56" customFormat="1" x14ac:dyDescent="0.35">
      <c r="A226" s="111"/>
      <c r="B226" s="112"/>
      <c r="C226" s="111"/>
      <c r="F226" s="111"/>
    </row>
    <row r="227" spans="1:6" s="56" customFormat="1" x14ac:dyDescent="0.35">
      <c r="A227" s="111"/>
      <c r="B227" s="112"/>
      <c r="C227" s="111"/>
      <c r="F227" s="111"/>
    </row>
    <row r="228" spans="1:6" s="56" customFormat="1" x14ac:dyDescent="0.35">
      <c r="A228" s="111"/>
      <c r="B228" s="112"/>
      <c r="C228" s="111"/>
      <c r="F228" s="111"/>
    </row>
    <row r="229" spans="1:6" s="56" customFormat="1" x14ac:dyDescent="0.35">
      <c r="A229" s="111"/>
      <c r="B229" s="112"/>
      <c r="C229" s="111"/>
      <c r="F229" s="111"/>
    </row>
    <row r="230" spans="1:6" s="56" customFormat="1" x14ac:dyDescent="0.35">
      <c r="A230" s="111"/>
      <c r="B230" s="112"/>
      <c r="C230" s="111"/>
      <c r="F230" s="111"/>
    </row>
    <row r="231" spans="1:6" s="56" customFormat="1" x14ac:dyDescent="0.35">
      <c r="A231" s="111"/>
      <c r="B231" s="112"/>
      <c r="C231" s="111"/>
      <c r="F231" s="111"/>
    </row>
    <row r="232" spans="1:6" s="56" customFormat="1" x14ac:dyDescent="0.35">
      <c r="A232" s="111"/>
      <c r="B232" s="112"/>
      <c r="C232" s="111"/>
      <c r="F232" s="111"/>
    </row>
    <row r="233" spans="1:6" s="56" customFormat="1" x14ac:dyDescent="0.35">
      <c r="A233" s="111"/>
      <c r="B233" s="112"/>
      <c r="C233" s="111"/>
      <c r="F233" s="111"/>
    </row>
    <row r="234" spans="1:6" s="56" customFormat="1" x14ac:dyDescent="0.35">
      <c r="A234" s="111"/>
      <c r="B234" s="112"/>
      <c r="C234" s="111"/>
      <c r="F234" s="111"/>
    </row>
    <row r="235" spans="1:6" s="56" customFormat="1" x14ac:dyDescent="0.35">
      <c r="A235" s="111"/>
      <c r="B235" s="112"/>
      <c r="C235" s="111"/>
      <c r="F235" s="111"/>
    </row>
    <row r="236" spans="1:6" s="56" customFormat="1" x14ac:dyDescent="0.35">
      <c r="A236" s="111"/>
      <c r="B236" s="112"/>
      <c r="C236" s="111"/>
      <c r="F236" s="111"/>
    </row>
    <row r="237" spans="1:6" s="56" customFormat="1" x14ac:dyDescent="0.35">
      <c r="A237" s="111"/>
      <c r="B237" s="112"/>
      <c r="C237" s="111"/>
      <c r="F237" s="111"/>
    </row>
    <row r="238" spans="1:6" s="56" customFormat="1" x14ac:dyDescent="0.35">
      <c r="A238" s="111"/>
      <c r="B238" s="112"/>
      <c r="C238" s="111"/>
      <c r="F238" s="111"/>
    </row>
    <row r="239" spans="1:6" s="56" customFormat="1" x14ac:dyDescent="0.35">
      <c r="A239" s="111"/>
      <c r="B239" s="112"/>
      <c r="C239" s="111"/>
      <c r="F239" s="111"/>
    </row>
    <row r="240" spans="1:6" s="56" customFormat="1" x14ac:dyDescent="0.35">
      <c r="A240" s="111"/>
      <c r="B240" s="112"/>
      <c r="C240" s="111"/>
      <c r="F240" s="111"/>
    </row>
    <row r="241" spans="1:6" s="56" customFormat="1" x14ac:dyDescent="0.35">
      <c r="A241" s="111"/>
      <c r="B241" s="112"/>
      <c r="C241" s="111"/>
      <c r="F241" s="111"/>
    </row>
    <row r="242" spans="1:6" s="56" customFormat="1" x14ac:dyDescent="0.35">
      <c r="A242" s="111"/>
      <c r="B242" s="112"/>
      <c r="C242" s="111"/>
      <c r="F242" s="111"/>
    </row>
    <row r="243" spans="1:6" s="56" customFormat="1" x14ac:dyDescent="0.35">
      <c r="A243" s="111"/>
      <c r="B243" s="112"/>
      <c r="C243" s="111"/>
      <c r="F243" s="111"/>
    </row>
    <row r="244" spans="1:6" s="56" customFormat="1" x14ac:dyDescent="0.35">
      <c r="A244" s="111"/>
      <c r="B244" s="112"/>
      <c r="C244" s="111"/>
      <c r="F244" s="111"/>
    </row>
    <row r="245" spans="1:6" s="56" customFormat="1" x14ac:dyDescent="0.35">
      <c r="A245" s="111"/>
      <c r="B245" s="112"/>
      <c r="C245" s="111"/>
      <c r="F245" s="111"/>
    </row>
    <row r="246" spans="1:6" s="56" customFormat="1" x14ac:dyDescent="0.35">
      <c r="A246" s="111"/>
      <c r="B246" s="112"/>
      <c r="C246" s="111"/>
      <c r="F246" s="111"/>
    </row>
    <row r="247" spans="1:6" s="56" customFormat="1" x14ac:dyDescent="0.35">
      <c r="A247" s="111"/>
      <c r="B247" s="112"/>
      <c r="C247" s="111"/>
      <c r="F247" s="111"/>
    </row>
    <row r="248" spans="1:6" s="56" customFormat="1" x14ac:dyDescent="0.35">
      <c r="A248" s="111"/>
      <c r="B248" s="112"/>
      <c r="C248" s="111"/>
      <c r="F248" s="111"/>
    </row>
    <row r="249" spans="1:6" s="56" customFormat="1" x14ac:dyDescent="0.35">
      <c r="A249" s="111"/>
      <c r="B249" s="112"/>
      <c r="C249" s="111"/>
      <c r="F249" s="111"/>
    </row>
    <row r="250" spans="1:6" s="56" customFormat="1" x14ac:dyDescent="0.35">
      <c r="A250" s="111"/>
      <c r="B250" s="112"/>
      <c r="C250" s="111"/>
      <c r="F250" s="111"/>
    </row>
    <row r="251" spans="1:6" s="56" customFormat="1" x14ac:dyDescent="0.35">
      <c r="A251" s="111"/>
      <c r="B251" s="112"/>
      <c r="C251" s="111"/>
      <c r="F251" s="111"/>
    </row>
    <row r="252" spans="1:6" s="56" customFormat="1" x14ac:dyDescent="0.35">
      <c r="A252" s="111"/>
      <c r="B252" s="112"/>
      <c r="C252" s="111"/>
      <c r="F252" s="111"/>
    </row>
    <row r="253" spans="1:6" s="56" customFormat="1" x14ac:dyDescent="0.35">
      <c r="A253" s="111"/>
      <c r="B253" s="112"/>
      <c r="C253" s="111"/>
      <c r="F253" s="111"/>
    </row>
    <row r="254" spans="1:6" s="56" customFormat="1" x14ac:dyDescent="0.35">
      <c r="A254" s="111"/>
      <c r="B254" s="112"/>
      <c r="C254" s="111"/>
      <c r="F254" s="111"/>
    </row>
    <row r="255" spans="1:6" s="56" customFormat="1" x14ac:dyDescent="0.35">
      <c r="A255" s="111"/>
      <c r="B255" s="112"/>
      <c r="C255" s="111"/>
      <c r="F255" s="111"/>
    </row>
    <row r="256" spans="1:6" s="56" customFormat="1" x14ac:dyDescent="0.35">
      <c r="A256" s="111"/>
      <c r="B256" s="112"/>
      <c r="C256" s="111"/>
      <c r="F256" s="111"/>
    </row>
    <row r="257" spans="1:6" s="56" customFormat="1" x14ac:dyDescent="0.35">
      <c r="A257" s="111"/>
      <c r="B257" s="112"/>
      <c r="C257" s="111"/>
      <c r="F257" s="111"/>
    </row>
    <row r="258" spans="1:6" s="56" customFormat="1" x14ac:dyDescent="0.35">
      <c r="A258" s="111"/>
      <c r="B258" s="112"/>
      <c r="C258" s="111"/>
      <c r="F258" s="111"/>
    </row>
    <row r="259" spans="1:6" s="56" customFormat="1" x14ac:dyDescent="0.35">
      <c r="A259" s="111"/>
      <c r="B259" s="112"/>
      <c r="C259" s="111"/>
      <c r="F259" s="111"/>
    </row>
    <row r="260" spans="1:6" s="56" customFormat="1" x14ac:dyDescent="0.35">
      <c r="A260" s="111"/>
      <c r="B260" s="112"/>
      <c r="C260" s="111"/>
      <c r="F260" s="111"/>
    </row>
    <row r="261" spans="1:6" s="56" customFormat="1" x14ac:dyDescent="0.35">
      <c r="A261" s="111"/>
      <c r="B261" s="112"/>
      <c r="C261" s="111"/>
      <c r="F261" s="111"/>
    </row>
    <row r="262" spans="1:6" s="56" customFormat="1" x14ac:dyDescent="0.35">
      <c r="A262" s="111"/>
      <c r="B262" s="112"/>
      <c r="C262" s="111"/>
      <c r="F262" s="111"/>
    </row>
    <row r="263" spans="1:6" s="56" customFormat="1" x14ac:dyDescent="0.35">
      <c r="A263" s="111"/>
      <c r="B263" s="112"/>
      <c r="C263" s="111"/>
      <c r="F263" s="111"/>
    </row>
    <row r="264" spans="1:6" s="56" customFormat="1" x14ac:dyDescent="0.35">
      <c r="A264" s="111"/>
      <c r="B264" s="112"/>
      <c r="C264" s="111"/>
      <c r="F264" s="111"/>
    </row>
    <row r="265" spans="1:6" s="56" customFormat="1" x14ac:dyDescent="0.35">
      <c r="A265" s="111"/>
      <c r="B265" s="112"/>
      <c r="C265" s="111"/>
      <c r="F265" s="111"/>
    </row>
    <row r="266" spans="1:6" s="56" customFormat="1" x14ac:dyDescent="0.35">
      <c r="A266" s="111"/>
      <c r="B266" s="112"/>
      <c r="C266" s="111"/>
      <c r="F266" s="111"/>
    </row>
    <row r="267" spans="1:6" s="56" customFormat="1" x14ac:dyDescent="0.35">
      <c r="A267" s="111"/>
      <c r="B267" s="112"/>
      <c r="C267" s="111"/>
      <c r="F267" s="111"/>
    </row>
    <row r="268" spans="1:6" s="56" customFormat="1" x14ac:dyDescent="0.35">
      <c r="A268" s="111"/>
      <c r="B268" s="112"/>
      <c r="C268" s="111"/>
      <c r="F268" s="111"/>
    </row>
    <row r="269" spans="1:6" s="56" customFormat="1" x14ac:dyDescent="0.35">
      <c r="A269" s="111"/>
      <c r="B269" s="112"/>
      <c r="C269" s="111"/>
      <c r="F269" s="111"/>
    </row>
    <row r="270" spans="1:6" s="56" customFormat="1" x14ac:dyDescent="0.35">
      <c r="A270" s="111"/>
      <c r="B270" s="112"/>
      <c r="C270" s="111"/>
      <c r="F270" s="111"/>
    </row>
    <row r="271" spans="1:6" s="56" customFormat="1" x14ac:dyDescent="0.35">
      <c r="A271" s="111"/>
      <c r="B271" s="112"/>
      <c r="C271" s="111"/>
      <c r="F271" s="111"/>
    </row>
    <row r="272" spans="1:6" s="56" customFormat="1" x14ac:dyDescent="0.35">
      <c r="A272" s="111"/>
      <c r="B272" s="112"/>
      <c r="C272" s="111"/>
      <c r="F272" s="111"/>
    </row>
    <row r="273" spans="1:6" s="56" customFormat="1" x14ac:dyDescent="0.35">
      <c r="A273" s="111"/>
      <c r="B273" s="112"/>
      <c r="C273" s="111"/>
      <c r="F273" s="111"/>
    </row>
    <row r="274" spans="1:6" s="56" customFormat="1" x14ac:dyDescent="0.35">
      <c r="A274" s="111"/>
      <c r="B274" s="112"/>
      <c r="C274" s="111"/>
      <c r="F274" s="111"/>
    </row>
    <row r="275" spans="1:6" s="56" customFormat="1" x14ac:dyDescent="0.35">
      <c r="A275" s="111"/>
      <c r="B275" s="112"/>
      <c r="C275" s="111"/>
      <c r="F275" s="111"/>
    </row>
    <row r="276" spans="1:6" s="56" customFormat="1" x14ac:dyDescent="0.35">
      <c r="A276" s="111"/>
      <c r="B276" s="112"/>
      <c r="C276" s="111"/>
      <c r="F276" s="111"/>
    </row>
    <row r="277" spans="1:6" s="56" customFormat="1" x14ac:dyDescent="0.35">
      <c r="A277" s="111"/>
      <c r="B277" s="112"/>
      <c r="C277" s="111"/>
      <c r="F277" s="111"/>
    </row>
    <row r="278" spans="1:6" s="56" customFormat="1" x14ac:dyDescent="0.35">
      <c r="A278" s="111"/>
      <c r="B278" s="112"/>
      <c r="C278" s="111"/>
      <c r="F278" s="111"/>
    </row>
    <row r="279" spans="1:6" s="56" customFormat="1" x14ac:dyDescent="0.35">
      <c r="A279" s="111"/>
      <c r="B279" s="112"/>
      <c r="C279" s="111"/>
      <c r="F279" s="111"/>
    </row>
    <row r="280" spans="1:6" s="56" customFormat="1" x14ac:dyDescent="0.35">
      <c r="A280" s="111"/>
      <c r="B280" s="112"/>
      <c r="C280" s="111"/>
      <c r="F280" s="111"/>
    </row>
    <row r="281" spans="1:6" s="56" customFormat="1" x14ac:dyDescent="0.35">
      <c r="A281" s="111"/>
      <c r="B281" s="112"/>
      <c r="C281" s="111"/>
      <c r="F281" s="111"/>
    </row>
    <row r="282" spans="1:6" s="56" customFormat="1" x14ac:dyDescent="0.35">
      <c r="A282" s="111"/>
      <c r="B282" s="112"/>
      <c r="C282" s="111"/>
      <c r="F282" s="111"/>
    </row>
    <row r="283" spans="1:6" s="56" customFormat="1" x14ac:dyDescent="0.35">
      <c r="A283" s="111"/>
      <c r="B283" s="112"/>
      <c r="C283" s="111"/>
      <c r="F283" s="111"/>
    </row>
    <row r="284" spans="1:6" s="56" customFormat="1" x14ac:dyDescent="0.35">
      <c r="A284" s="111"/>
      <c r="B284" s="112"/>
      <c r="C284" s="111"/>
      <c r="F284" s="111"/>
    </row>
    <row r="285" spans="1:6" s="56" customFormat="1" x14ac:dyDescent="0.35">
      <c r="A285" s="111"/>
      <c r="B285" s="112"/>
      <c r="C285" s="111"/>
      <c r="F285" s="111"/>
    </row>
    <row r="286" spans="1:6" s="56" customFormat="1" x14ac:dyDescent="0.35">
      <c r="A286" s="111"/>
      <c r="B286" s="112"/>
      <c r="C286" s="111"/>
      <c r="F286" s="111"/>
    </row>
    <row r="287" spans="1:6" s="56" customFormat="1" x14ac:dyDescent="0.35">
      <c r="A287" s="111"/>
      <c r="B287" s="112"/>
      <c r="C287" s="111"/>
      <c r="F287" s="111"/>
    </row>
    <row r="288" spans="1:6" s="56" customFormat="1" x14ac:dyDescent="0.35">
      <c r="A288" s="111"/>
      <c r="B288" s="112"/>
      <c r="C288" s="111"/>
      <c r="F288" s="111"/>
    </row>
    <row r="289" spans="1:6" s="56" customFormat="1" x14ac:dyDescent="0.35">
      <c r="A289" s="111"/>
      <c r="B289" s="112"/>
      <c r="C289" s="111"/>
      <c r="F289" s="111"/>
    </row>
    <row r="290" spans="1:6" s="56" customFormat="1" x14ac:dyDescent="0.35">
      <c r="A290" s="111"/>
      <c r="B290" s="112"/>
      <c r="C290" s="111"/>
      <c r="F290" s="111"/>
    </row>
    <row r="291" spans="1:6" s="56" customFormat="1" x14ac:dyDescent="0.35">
      <c r="A291" s="111"/>
      <c r="B291" s="112"/>
      <c r="C291" s="111"/>
      <c r="F291" s="111"/>
    </row>
    <row r="292" spans="1:6" s="56" customFormat="1" x14ac:dyDescent="0.35">
      <c r="A292" s="111"/>
      <c r="B292" s="112"/>
      <c r="C292" s="111"/>
      <c r="F292" s="111"/>
    </row>
    <row r="293" spans="1:6" s="56" customFormat="1" x14ac:dyDescent="0.35">
      <c r="A293" s="111"/>
      <c r="B293" s="112"/>
      <c r="C293" s="111"/>
      <c r="F293" s="111"/>
    </row>
    <row r="294" spans="1:6" s="56" customFormat="1" x14ac:dyDescent="0.35">
      <c r="A294" s="111"/>
      <c r="B294" s="112"/>
      <c r="C294" s="111"/>
      <c r="F294" s="111"/>
    </row>
    <row r="295" spans="1:6" s="56" customFormat="1" x14ac:dyDescent="0.35">
      <c r="A295" s="111"/>
      <c r="B295" s="112"/>
      <c r="C295" s="111"/>
      <c r="F295" s="111"/>
    </row>
    <row r="296" spans="1:6" s="56" customFormat="1" x14ac:dyDescent="0.35">
      <c r="A296" s="111"/>
      <c r="B296" s="112"/>
      <c r="C296" s="111"/>
      <c r="F296" s="111"/>
    </row>
    <row r="297" spans="1:6" s="56" customFormat="1" x14ac:dyDescent="0.35">
      <c r="A297" s="111"/>
      <c r="B297" s="112"/>
      <c r="C297" s="111"/>
      <c r="F297" s="111"/>
    </row>
    <row r="298" spans="1:6" s="56" customFormat="1" x14ac:dyDescent="0.35">
      <c r="A298" s="111"/>
      <c r="B298" s="112"/>
      <c r="C298" s="111"/>
      <c r="F298" s="111"/>
    </row>
    <row r="299" spans="1:6" s="56" customFormat="1" x14ac:dyDescent="0.35">
      <c r="A299" s="111"/>
      <c r="B299" s="112"/>
      <c r="C299" s="111"/>
      <c r="F299" s="111"/>
    </row>
    <row r="300" spans="1:6" s="56" customFormat="1" x14ac:dyDescent="0.35">
      <c r="A300" s="111"/>
      <c r="B300" s="112"/>
      <c r="C300" s="111"/>
      <c r="F300" s="111"/>
    </row>
    <row r="301" spans="1:6" s="56" customFormat="1" x14ac:dyDescent="0.35">
      <c r="A301" s="111"/>
      <c r="B301" s="112"/>
      <c r="C301" s="111"/>
      <c r="F301" s="111"/>
    </row>
    <row r="302" spans="1:6" s="56" customFormat="1" x14ac:dyDescent="0.35">
      <c r="A302" s="111"/>
      <c r="B302" s="112"/>
      <c r="C302" s="111"/>
      <c r="F302" s="111"/>
    </row>
    <row r="303" spans="1:6" s="56" customFormat="1" x14ac:dyDescent="0.35">
      <c r="A303" s="111"/>
      <c r="B303" s="112"/>
      <c r="C303" s="111"/>
      <c r="F303" s="111"/>
    </row>
    <row r="304" spans="1:6" s="56" customFormat="1" x14ac:dyDescent="0.35">
      <c r="A304" s="111"/>
      <c r="B304" s="112"/>
      <c r="C304" s="111"/>
      <c r="F304" s="111"/>
    </row>
    <row r="305" spans="1:6" s="56" customFormat="1" x14ac:dyDescent="0.35">
      <c r="A305" s="111"/>
      <c r="B305" s="112"/>
      <c r="C305" s="111"/>
      <c r="F305" s="111"/>
    </row>
    <row r="306" spans="1:6" s="56" customFormat="1" x14ac:dyDescent="0.35">
      <c r="A306" s="111"/>
      <c r="B306" s="112"/>
      <c r="C306" s="111"/>
      <c r="F306" s="111"/>
    </row>
    <row r="307" spans="1:6" s="56" customFormat="1" x14ac:dyDescent="0.35">
      <c r="A307" s="111"/>
      <c r="B307" s="112"/>
      <c r="C307" s="111"/>
      <c r="F307" s="111"/>
    </row>
    <row r="308" spans="1:6" s="56" customFormat="1" x14ac:dyDescent="0.35">
      <c r="A308" s="111"/>
      <c r="B308" s="112"/>
      <c r="C308" s="111"/>
      <c r="F308" s="111"/>
    </row>
    <row r="309" spans="1:6" s="56" customFormat="1" x14ac:dyDescent="0.35">
      <c r="A309" s="111"/>
      <c r="B309" s="112"/>
      <c r="C309" s="111"/>
      <c r="F309" s="111"/>
    </row>
    <row r="310" spans="1:6" s="56" customFormat="1" x14ac:dyDescent="0.35">
      <c r="A310" s="111"/>
      <c r="B310" s="112"/>
      <c r="C310" s="111"/>
      <c r="F310" s="111"/>
    </row>
    <row r="311" spans="1:6" s="56" customFormat="1" x14ac:dyDescent="0.35">
      <c r="A311" s="111"/>
      <c r="B311" s="112"/>
      <c r="C311" s="111"/>
      <c r="F311" s="111"/>
    </row>
    <row r="312" spans="1:6" s="56" customFormat="1" x14ac:dyDescent="0.35">
      <c r="A312" s="111"/>
      <c r="B312" s="112"/>
      <c r="C312" s="111"/>
      <c r="F312" s="111"/>
    </row>
    <row r="313" spans="1:6" s="56" customFormat="1" x14ac:dyDescent="0.35">
      <c r="A313" s="111"/>
      <c r="B313" s="112"/>
      <c r="C313" s="111"/>
      <c r="F313" s="111"/>
    </row>
    <row r="314" spans="1:6" s="56" customFormat="1" x14ac:dyDescent="0.35">
      <c r="A314" s="111"/>
      <c r="B314" s="112"/>
      <c r="C314" s="111"/>
      <c r="F314" s="111"/>
    </row>
    <row r="315" spans="1:6" s="56" customFormat="1" x14ac:dyDescent="0.35">
      <c r="A315" s="111"/>
      <c r="B315" s="112"/>
      <c r="C315" s="111"/>
      <c r="F315" s="111"/>
    </row>
    <row r="316" spans="1:6" s="56" customFormat="1" x14ac:dyDescent="0.35">
      <c r="A316" s="111"/>
      <c r="B316" s="112"/>
      <c r="C316" s="111"/>
      <c r="F316" s="111"/>
    </row>
    <row r="317" spans="1:6" s="56" customFormat="1" x14ac:dyDescent="0.35">
      <c r="A317" s="111"/>
      <c r="B317" s="112"/>
      <c r="C317" s="111"/>
      <c r="F317" s="111"/>
    </row>
    <row r="318" spans="1:6" s="56" customFormat="1" x14ac:dyDescent="0.35">
      <c r="A318" s="111"/>
      <c r="B318" s="112"/>
      <c r="C318" s="111"/>
      <c r="F318" s="111"/>
    </row>
    <row r="319" spans="1:6" s="56" customFormat="1" x14ac:dyDescent="0.35">
      <c r="A319" s="111"/>
      <c r="B319" s="112"/>
      <c r="C319" s="111"/>
      <c r="F319" s="111"/>
    </row>
    <row r="320" spans="1:6" s="56" customFormat="1" x14ac:dyDescent="0.35">
      <c r="A320" s="111"/>
      <c r="B320" s="112"/>
      <c r="C320" s="111"/>
      <c r="F320" s="111"/>
    </row>
    <row r="321" spans="1:6" s="56" customFormat="1" x14ac:dyDescent="0.35">
      <c r="A321" s="111"/>
      <c r="B321" s="112"/>
      <c r="C321" s="111"/>
      <c r="F321" s="111"/>
    </row>
    <row r="322" spans="1:6" s="56" customFormat="1" x14ac:dyDescent="0.35">
      <c r="A322" s="111"/>
      <c r="B322" s="112"/>
      <c r="C322" s="111"/>
      <c r="F322" s="111"/>
    </row>
    <row r="323" spans="1:6" s="56" customFormat="1" x14ac:dyDescent="0.35">
      <c r="A323" s="111"/>
      <c r="B323" s="112"/>
      <c r="C323" s="111"/>
      <c r="F323" s="111"/>
    </row>
    <row r="324" spans="1:6" s="56" customFormat="1" x14ac:dyDescent="0.35">
      <c r="A324" s="111"/>
      <c r="B324" s="112"/>
      <c r="C324" s="111"/>
      <c r="F324" s="111"/>
    </row>
    <row r="325" spans="1:6" s="56" customFormat="1" x14ac:dyDescent="0.35">
      <c r="A325" s="111"/>
      <c r="B325" s="112"/>
      <c r="C325" s="111"/>
      <c r="F325" s="111"/>
    </row>
    <row r="326" spans="1:6" s="56" customFormat="1" x14ac:dyDescent="0.35">
      <c r="A326" s="111"/>
      <c r="B326" s="112"/>
      <c r="C326" s="111"/>
      <c r="F326" s="111"/>
    </row>
    <row r="327" spans="1:6" s="56" customFormat="1" x14ac:dyDescent="0.35">
      <c r="A327" s="111"/>
      <c r="B327" s="112"/>
      <c r="C327" s="111"/>
      <c r="F327" s="111"/>
    </row>
    <row r="328" spans="1:6" s="56" customFormat="1" x14ac:dyDescent="0.35">
      <c r="A328" s="111"/>
      <c r="B328" s="112"/>
      <c r="C328" s="111"/>
      <c r="F328" s="111"/>
    </row>
    <row r="329" spans="1:6" s="56" customFormat="1" x14ac:dyDescent="0.35">
      <c r="A329" s="111"/>
      <c r="B329" s="112"/>
      <c r="C329" s="111"/>
      <c r="F329" s="111"/>
    </row>
    <row r="330" spans="1:6" s="56" customFormat="1" x14ac:dyDescent="0.35">
      <c r="A330" s="111"/>
      <c r="B330" s="112"/>
      <c r="C330" s="111"/>
      <c r="F330" s="111"/>
    </row>
    <row r="331" spans="1:6" s="56" customFormat="1" x14ac:dyDescent="0.35">
      <c r="A331" s="111"/>
      <c r="B331" s="112"/>
      <c r="C331" s="111"/>
      <c r="F331" s="111"/>
    </row>
    <row r="332" spans="1:6" s="56" customFormat="1" x14ac:dyDescent="0.35">
      <c r="A332" s="111"/>
      <c r="B332" s="112"/>
      <c r="C332" s="111"/>
      <c r="F332" s="111"/>
    </row>
    <row r="333" spans="1:6" s="56" customFormat="1" x14ac:dyDescent="0.35">
      <c r="A333" s="111"/>
      <c r="B333" s="112"/>
      <c r="C333" s="111"/>
      <c r="F333" s="111"/>
    </row>
    <row r="334" spans="1:6" s="56" customFormat="1" x14ac:dyDescent="0.35">
      <c r="A334" s="111"/>
      <c r="B334" s="112"/>
      <c r="C334" s="111"/>
      <c r="F334" s="111"/>
    </row>
    <row r="335" spans="1:6" s="56" customFormat="1" x14ac:dyDescent="0.35">
      <c r="A335" s="111"/>
      <c r="B335" s="112"/>
      <c r="C335" s="111"/>
      <c r="F335" s="111"/>
    </row>
    <row r="336" spans="1:6" s="56" customFormat="1" x14ac:dyDescent="0.35">
      <c r="A336" s="111"/>
      <c r="B336" s="112"/>
      <c r="C336" s="111"/>
      <c r="F336" s="111"/>
    </row>
    <row r="337" spans="1:6" s="56" customFormat="1" x14ac:dyDescent="0.35">
      <c r="A337" s="111"/>
      <c r="B337" s="112"/>
      <c r="C337" s="111"/>
      <c r="F337" s="111"/>
    </row>
    <row r="338" spans="1:6" s="56" customFormat="1" x14ac:dyDescent="0.35">
      <c r="A338" s="111"/>
      <c r="B338" s="112"/>
      <c r="C338" s="111"/>
      <c r="F338" s="111"/>
    </row>
    <row r="339" spans="1:6" s="56" customFormat="1" x14ac:dyDescent="0.35">
      <c r="A339" s="111"/>
      <c r="B339" s="112"/>
      <c r="C339" s="111"/>
      <c r="F339" s="111"/>
    </row>
    <row r="340" spans="1:6" s="56" customFormat="1" x14ac:dyDescent="0.35">
      <c r="A340" s="111"/>
      <c r="B340" s="112"/>
      <c r="C340" s="111"/>
      <c r="F340" s="111"/>
    </row>
    <row r="341" spans="1:6" s="56" customFormat="1" x14ac:dyDescent="0.35">
      <c r="A341" s="111"/>
      <c r="B341" s="112"/>
      <c r="C341" s="111"/>
      <c r="F341" s="111"/>
    </row>
    <row r="342" spans="1:6" s="56" customFormat="1" x14ac:dyDescent="0.35">
      <c r="A342" s="111"/>
      <c r="B342" s="112"/>
      <c r="C342" s="111"/>
      <c r="F342" s="111"/>
    </row>
    <row r="343" spans="1:6" s="56" customFormat="1" x14ac:dyDescent="0.35">
      <c r="A343" s="111"/>
      <c r="B343" s="112"/>
      <c r="C343" s="111"/>
      <c r="F343" s="111"/>
    </row>
    <row r="344" spans="1:6" s="56" customFormat="1" x14ac:dyDescent="0.35">
      <c r="A344" s="111"/>
      <c r="B344" s="112"/>
      <c r="C344" s="111"/>
      <c r="F344" s="111"/>
    </row>
    <row r="345" spans="1:6" s="56" customFormat="1" x14ac:dyDescent="0.35">
      <c r="A345" s="111"/>
      <c r="B345" s="112"/>
      <c r="C345" s="111"/>
      <c r="F345" s="111"/>
    </row>
    <row r="346" spans="1:6" s="56" customFormat="1" x14ac:dyDescent="0.35">
      <c r="A346" s="111"/>
      <c r="B346" s="112"/>
      <c r="C346" s="111"/>
      <c r="F346" s="111"/>
    </row>
    <row r="347" spans="1:6" s="56" customFormat="1" x14ac:dyDescent="0.35">
      <c r="A347" s="111"/>
      <c r="B347" s="112"/>
      <c r="C347" s="111"/>
      <c r="F347" s="111"/>
    </row>
    <row r="348" spans="1:6" s="56" customFormat="1" x14ac:dyDescent="0.35">
      <c r="A348" s="111"/>
      <c r="B348" s="112"/>
      <c r="C348" s="111"/>
      <c r="F348" s="111"/>
    </row>
    <row r="349" spans="1:6" s="56" customFormat="1" x14ac:dyDescent="0.35">
      <c r="A349" s="111"/>
      <c r="B349" s="112"/>
      <c r="C349" s="111"/>
      <c r="F349" s="111"/>
    </row>
    <row r="350" spans="1:6" s="56" customFormat="1" x14ac:dyDescent="0.35">
      <c r="A350" s="111"/>
      <c r="B350" s="112"/>
      <c r="C350" s="111"/>
      <c r="F350" s="111"/>
    </row>
    <row r="351" spans="1:6" s="56" customFormat="1" x14ac:dyDescent="0.35">
      <c r="A351" s="111"/>
      <c r="B351" s="112"/>
      <c r="C351" s="111"/>
      <c r="F351" s="111"/>
    </row>
    <row r="352" spans="1:6" s="56" customFormat="1" x14ac:dyDescent="0.35">
      <c r="A352" s="111"/>
      <c r="B352" s="112"/>
      <c r="C352" s="111"/>
      <c r="F352" s="111"/>
    </row>
    <row r="353" spans="1:6" s="56" customFormat="1" x14ac:dyDescent="0.35">
      <c r="A353" s="111"/>
      <c r="B353" s="112"/>
      <c r="C353" s="111"/>
      <c r="F353" s="111"/>
    </row>
    <row r="354" spans="1:6" s="56" customFormat="1" x14ac:dyDescent="0.35">
      <c r="A354" s="111"/>
      <c r="B354" s="112"/>
      <c r="C354" s="111"/>
      <c r="F354" s="111"/>
    </row>
    <row r="355" spans="1:6" s="56" customFormat="1" x14ac:dyDescent="0.35">
      <c r="A355" s="111"/>
      <c r="B355" s="112"/>
      <c r="C355" s="111"/>
      <c r="F355" s="111"/>
    </row>
    <row r="356" spans="1:6" s="56" customFormat="1" x14ac:dyDescent="0.35">
      <c r="A356" s="111"/>
      <c r="B356" s="112"/>
      <c r="C356" s="111"/>
      <c r="F356" s="111"/>
    </row>
    <row r="357" spans="1:6" s="56" customFormat="1" x14ac:dyDescent="0.35">
      <c r="A357" s="111"/>
      <c r="B357" s="112"/>
      <c r="C357" s="111"/>
      <c r="F357" s="111"/>
    </row>
    <row r="358" spans="1:6" s="56" customFormat="1" x14ac:dyDescent="0.35">
      <c r="A358" s="111"/>
      <c r="B358" s="112"/>
      <c r="C358" s="111"/>
      <c r="F358" s="111"/>
    </row>
    <row r="359" spans="1:6" s="56" customFormat="1" x14ac:dyDescent="0.35">
      <c r="A359" s="111"/>
      <c r="B359" s="112"/>
      <c r="C359" s="111"/>
      <c r="F359" s="111"/>
    </row>
    <row r="360" spans="1:6" s="56" customFormat="1" x14ac:dyDescent="0.35">
      <c r="A360" s="111"/>
      <c r="B360" s="112"/>
      <c r="C360" s="111"/>
      <c r="F360" s="111"/>
    </row>
    <row r="361" spans="1:6" s="56" customFormat="1" x14ac:dyDescent="0.35">
      <c r="A361" s="111"/>
      <c r="B361" s="112"/>
      <c r="C361" s="111"/>
      <c r="F361" s="111"/>
    </row>
    <row r="362" spans="1:6" s="56" customFormat="1" x14ac:dyDescent="0.35">
      <c r="A362" s="111"/>
      <c r="B362" s="112"/>
      <c r="C362" s="111"/>
      <c r="F362" s="111"/>
    </row>
    <row r="363" spans="1:6" s="56" customFormat="1" x14ac:dyDescent="0.35">
      <c r="A363" s="111"/>
      <c r="B363" s="112"/>
      <c r="C363" s="111"/>
      <c r="F363" s="111"/>
    </row>
    <row r="364" spans="1:6" s="56" customFormat="1" x14ac:dyDescent="0.35">
      <c r="A364" s="111"/>
      <c r="B364" s="112"/>
      <c r="C364" s="111"/>
      <c r="F364" s="111"/>
    </row>
    <row r="365" spans="1:6" s="56" customFormat="1" x14ac:dyDescent="0.35">
      <c r="A365" s="111"/>
      <c r="B365" s="112"/>
      <c r="C365" s="111"/>
      <c r="F365" s="111"/>
    </row>
    <row r="366" spans="1:6" s="56" customFormat="1" x14ac:dyDescent="0.35">
      <c r="A366" s="111"/>
      <c r="B366" s="112"/>
      <c r="C366" s="111"/>
      <c r="F366" s="111"/>
    </row>
    <row r="367" spans="1:6" s="56" customFormat="1" x14ac:dyDescent="0.35">
      <c r="A367" s="111"/>
      <c r="B367" s="112"/>
      <c r="C367" s="111"/>
      <c r="F367" s="111"/>
    </row>
    <row r="368" spans="1:6" s="56" customFormat="1" x14ac:dyDescent="0.35">
      <c r="A368" s="111"/>
      <c r="B368" s="112"/>
      <c r="C368" s="111"/>
      <c r="F368" s="111"/>
    </row>
    <row r="369" spans="1:6" s="56" customFormat="1" x14ac:dyDescent="0.35">
      <c r="A369" s="111"/>
      <c r="B369" s="112"/>
      <c r="C369" s="111"/>
      <c r="F369" s="111"/>
    </row>
    <row r="370" spans="1:6" s="56" customFormat="1" x14ac:dyDescent="0.35">
      <c r="A370" s="111"/>
      <c r="B370" s="112"/>
      <c r="C370" s="111"/>
      <c r="F370" s="111"/>
    </row>
    <row r="371" spans="1:6" s="56" customFormat="1" x14ac:dyDescent="0.35">
      <c r="A371" s="111"/>
      <c r="B371" s="112"/>
      <c r="C371" s="111"/>
      <c r="F371" s="111"/>
    </row>
    <row r="372" spans="1:6" s="56" customFormat="1" x14ac:dyDescent="0.35">
      <c r="A372" s="111"/>
      <c r="B372" s="112"/>
      <c r="C372" s="111"/>
      <c r="F372" s="111"/>
    </row>
    <row r="373" spans="1:6" s="56" customFormat="1" x14ac:dyDescent="0.35">
      <c r="A373" s="111"/>
      <c r="B373" s="112"/>
      <c r="C373" s="111"/>
      <c r="F373" s="111"/>
    </row>
    <row r="374" spans="1:6" s="56" customFormat="1" x14ac:dyDescent="0.35">
      <c r="A374" s="111"/>
      <c r="B374" s="112"/>
      <c r="C374" s="111"/>
      <c r="F374" s="111"/>
    </row>
    <row r="375" spans="1:6" s="56" customFormat="1" x14ac:dyDescent="0.35">
      <c r="A375" s="111"/>
      <c r="B375" s="112"/>
      <c r="C375" s="111"/>
      <c r="F375" s="111"/>
    </row>
    <row r="376" spans="1:6" s="56" customFormat="1" x14ac:dyDescent="0.35">
      <c r="A376" s="111"/>
      <c r="B376" s="112"/>
      <c r="C376" s="111"/>
      <c r="F376" s="111"/>
    </row>
    <row r="377" spans="1:6" s="56" customFormat="1" x14ac:dyDescent="0.35">
      <c r="A377" s="111"/>
      <c r="B377" s="112"/>
      <c r="C377" s="111"/>
      <c r="F377" s="111"/>
    </row>
    <row r="378" spans="1:6" s="56" customFormat="1" x14ac:dyDescent="0.35">
      <c r="A378" s="111"/>
      <c r="B378" s="112"/>
      <c r="C378" s="111"/>
      <c r="F378" s="111"/>
    </row>
    <row r="379" spans="1:6" s="56" customFormat="1" x14ac:dyDescent="0.35">
      <c r="A379" s="111"/>
      <c r="B379" s="112"/>
      <c r="C379" s="111"/>
      <c r="F379" s="111"/>
    </row>
    <row r="380" spans="1:6" s="56" customFormat="1" x14ac:dyDescent="0.35">
      <c r="A380" s="111"/>
      <c r="B380" s="112"/>
      <c r="C380" s="111"/>
      <c r="F380" s="111"/>
    </row>
    <row r="381" spans="1:6" s="56" customFormat="1" x14ac:dyDescent="0.35">
      <c r="A381" s="111"/>
      <c r="B381" s="112"/>
      <c r="C381" s="111"/>
      <c r="F381" s="111"/>
    </row>
    <row r="382" spans="1:6" s="56" customFormat="1" x14ac:dyDescent="0.35">
      <c r="A382" s="111"/>
      <c r="B382" s="112"/>
      <c r="C382" s="111"/>
      <c r="F382" s="111"/>
    </row>
    <row r="383" spans="1:6" s="56" customFormat="1" x14ac:dyDescent="0.35">
      <c r="A383" s="111"/>
      <c r="B383" s="112"/>
      <c r="C383" s="111"/>
      <c r="F383" s="111"/>
    </row>
    <row r="384" spans="1:6" s="56" customFormat="1" x14ac:dyDescent="0.35">
      <c r="A384" s="111"/>
      <c r="B384" s="112"/>
      <c r="C384" s="111"/>
      <c r="F384" s="111"/>
    </row>
    <row r="385" spans="1:6" s="56" customFormat="1" x14ac:dyDescent="0.35">
      <c r="A385" s="111"/>
      <c r="B385" s="112"/>
      <c r="C385" s="111"/>
      <c r="F385" s="111"/>
    </row>
    <row r="386" spans="1:6" s="56" customFormat="1" x14ac:dyDescent="0.35">
      <c r="A386" s="111"/>
      <c r="B386" s="112"/>
      <c r="C386" s="111"/>
      <c r="F386" s="111"/>
    </row>
    <row r="387" spans="1:6" s="56" customFormat="1" x14ac:dyDescent="0.35">
      <c r="A387" s="111"/>
      <c r="B387" s="112"/>
      <c r="C387" s="111"/>
      <c r="F387" s="111"/>
    </row>
    <row r="388" spans="1:6" s="56" customFormat="1" x14ac:dyDescent="0.35">
      <c r="A388" s="111"/>
      <c r="B388" s="112"/>
      <c r="C388" s="111"/>
      <c r="F388" s="111"/>
    </row>
    <row r="389" spans="1:6" s="56" customFormat="1" x14ac:dyDescent="0.35">
      <c r="A389" s="111"/>
      <c r="B389" s="112"/>
      <c r="C389" s="111"/>
      <c r="F389" s="111"/>
    </row>
    <row r="390" spans="1:6" s="56" customFormat="1" x14ac:dyDescent="0.35">
      <c r="A390" s="111"/>
      <c r="B390" s="112"/>
      <c r="C390" s="111"/>
      <c r="F390" s="111"/>
    </row>
    <row r="391" spans="1:6" s="56" customFormat="1" x14ac:dyDescent="0.35">
      <c r="A391" s="111"/>
      <c r="B391" s="112"/>
      <c r="C391" s="111"/>
      <c r="F391" s="111"/>
    </row>
    <row r="392" spans="1:6" s="56" customFormat="1" x14ac:dyDescent="0.35">
      <c r="A392" s="111"/>
      <c r="B392" s="112"/>
      <c r="C392" s="111"/>
      <c r="F392" s="111"/>
    </row>
    <row r="393" spans="1:6" s="56" customFormat="1" x14ac:dyDescent="0.35">
      <c r="A393" s="111"/>
      <c r="B393" s="112"/>
      <c r="C393" s="111"/>
      <c r="F393" s="111"/>
    </row>
    <row r="394" spans="1:6" s="56" customFormat="1" x14ac:dyDescent="0.35">
      <c r="A394" s="111"/>
      <c r="B394" s="112"/>
      <c r="C394" s="111"/>
      <c r="F394" s="111"/>
    </row>
    <row r="395" spans="1:6" s="56" customFormat="1" x14ac:dyDescent="0.35">
      <c r="A395" s="111"/>
      <c r="B395" s="112"/>
      <c r="C395" s="111"/>
      <c r="F395" s="111"/>
    </row>
    <row r="396" spans="1:6" s="56" customFormat="1" x14ac:dyDescent="0.35">
      <c r="A396" s="111"/>
      <c r="B396" s="112"/>
      <c r="C396" s="111"/>
      <c r="F396" s="111"/>
    </row>
    <row r="397" spans="1:6" s="56" customFormat="1" x14ac:dyDescent="0.35">
      <c r="A397" s="111"/>
      <c r="B397" s="112"/>
      <c r="C397" s="111"/>
      <c r="F397" s="111"/>
    </row>
    <row r="398" spans="1:6" s="56" customFormat="1" x14ac:dyDescent="0.35">
      <c r="A398" s="111"/>
      <c r="B398" s="112"/>
      <c r="C398" s="111"/>
      <c r="F398" s="111"/>
    </row>
    <row r="399" spans="1:6" s="56" customFormat="1" x14ac:dyDescent="0.35">
      <c r="A399" s="111"/>
      <c r="B399" s="112"/>
      <c r="C399" s="111"/>
      <c r="F399" s="111"/>
    </row>
    <row r="400" spans="1:6" s="56" customFormat="1" x14ac:dyDescent="0.35">
      <c r="A400" s="111"/>
      <c r="B400" s="112"/>
      <c r="C400" s="111"/>
      <c r="F400" s="111"/>
    </row>
    <row r="401" spans="1:6" s="56" customFormat="1" x14ac:dyDescent="0.35">
      <c r="A401" s="111"/>
      <c r="B401" s="112"/>
      <c r="C401" s="111"/>
      <c r="F401" s="111"/>
    </row>
    <row r="402" spans="1:6" s="56" customFormat="1" x14ac:dyDescent="0.35">
      <c r="A402" s="111"/>
      <c r="B402" s="112"/>
      <c r="C402" s="111"/>
      <c r="F402" s="111"/>
    </row>
    <row r="403" spans="1:6" s="56" customFormat="1" x14ac:dyDescent="0.35">
      <c r="A403" s="111"/>
      <c r="B403" s="112"/>
      <c r="C403" s="111"/>
      <c r="F403" s="111"/>
    </row>
    <row r="404" spans="1:6" s="56" customFormat="1" x14ac:dyDescent="0.35">
      <c r="A404" s="111"/>
      <c r="B404" s="112"/>
      <c r="C404" s="111"/>
      <c r="F404" s="111"/>
    </row>
    <row r="405" spans="1:6" s="56" customFormat="1" x14ac:dyDescent="0.35">
      <c r="A405" s="111"/>
      <c r="B405" s="112"/>
      <c r="C405" s="111"/>
      <c r="F405" s="111"/>
    </row>
    <row r="406" spans="1:6" s="56" customFormat="1" x14ac:dyDescent="0.35">
      <c r="A406" s="111"/>
      <c r="B406" s="112"/>
      <c r="C406" s="111"/>
      <c r="F406" s="111"/>
    </row>
    <row r="407" spans="1:6" s="56" customFormat="1" x14ac:dyDescent="0.35">
      <c r="A407" s="111"/>
      <c r="B407" s="112"/>
      <c r="C407" s="111"/>
      <c r="F407" s="111"/>
    </row>
    <row r="408" spans="1:6" s="56" customFormat="1" x14ac:dyDescent="0.35">
      <c r="A408" s="111"/>
      <c r="B408" s="112"/>
      <c r="C408" s="111"/>
      <c r="F408" s="111"/>
    </row>
    <row r="409" spans="1:6" s="56" customFormat="1" x14ac:dyDescent="0.35">
      <c r="A409" s="111"/>
      <c r="B409" s="112"/>
      <c r="C409" s="111"/>
      <c r="F409" s="111"/>
    </row>
    <row r="410" spans="1:6" s="56" customFormat="1" x14ac:dyDescent="0.35">
      <c r="A410" s="111"/>
      <c r="B410" s="112"/>
      <c r="C410" s="111"/>
      <c r="F410" s="111"/>
    </row>
    <row r="411" spans="1:6" s="56" customFormat="1" x14ac:dyDescent="0.35">
      <c r="A411" s="111"/>
      <c r="B411" s="112"/>
      <c r="C411" s="111"/>
      <c r="F411" s="111"/>
    </row>
    <row r="412" spans="1:6" s="56" customFormat="1" x14ac:dyDescent="0.35">
      <c r="A412" s="111"/>
      <c r="B412" s="112"/>
      <c r="C412" s="111"/>
      <c r="F412" s="111"/>
    </row>
    <row r="413" spans="1:6" s="56" customFormat="1" x14ac:dyDescent="0.35">
      <c r="A413" s="111"/>
      <c r="B413" s="112"/>
      <c r="C413" s="111"/>
      <c r="F413" s="111"/>
    </row>
    <row r="414" spans="1:6" s="56" customFormat="1" x14ac:dyDescent="0.35">
      <c r="A414" s="111"/>
      <c r="B414" s="112"/>
      <c r="C414" s="111"/>
      <c r="F414" s="111"/>
    </row>
    <row r="415" spans="1:6" s="56" customFormat="1" x14ac:dyDescent="0.35">
      <c r="A415" s="111"/>
      <c r="B415" s="112"/>
      <c r="C415" s="111"/>
      <c r="F415" s="111"/>
    </row>
    <row r="416" spans="1:6" s="56" customFormat="1" x14ac:dyDescent="0.35">
      <c r="A416" s="111"/>
      <c r="B416" s="112"/>
      <c r="C416" s="111"/>
      <c r="F416" s="111"/>
    </row>
    <row r="417" spans="1:6" s="56" customFormat="1" x14ac:dyDescent="0.35">
      <c r="A417" s="111"/>
      <c r="B417" s="112"/>
      <c r="C417" s="111"/>
      <c r="F417" s="111"/>
    </row>
    <row r="418" spans="1:6" s="56" customFormat="1" x14ac:dyDescent="0.35">
      <c r="A418" s="111"/>
      <c r="B418" s="112"/>
      <c r="C418" s="111"/>
      <c r="F418" s="111"/>
    </row>
    <row r="419" spans="1:6" s="56" customFormat="1" x14ac:dyDescent="0.35">
      <c r="A419" s="111"/>
      <c r="B419" s="112"/>
      <c r="C419" s="111"/>
      <c r="F419" s="111"/>
    </row>
    <row r="420" spans="1:6" s="56" customFormat="1" x14ac:dyDescent="0.35">
      <c r="A420" s="111"/>
      <c r="B420" s="112"/>
      <c r="C420" s="111"/>
      <c r="F420" s="111"/>
    </row>
    <row r="421" spans="1:6" s="56" customFormat="1" x14ac:dyDescent="0.35">
      <c r="A421" s="111"/>
      <c r="B421" s="112"/>
      <c r="C421" s="111"/>
      <c r="F421" s="111"/>
    </row>
    <row r="422" spans="1:6" s="56" customFormat="1" x14ac:dyDescent="0.35">
      <c r="A422" s="111"/>
      <c r="B422" s="112"/>
      <c r="C422" s="111"/>
      <c r="F422" s="111"/>
    </row>
    <row r="423" spans="1:6" s="56" customFormat="1" x14ac:dyDescent="0.35">
      <c r="A423" s="111"/>
      <c r="B423" s="112"/>
      <c r="C423" s="111"/>
      <c r="F423" s="111"/>
    </row>
    <row r="424" spans="1:6" s="56" customFormat="1" x14ac:dyDescent="0.35">
      <c r="A424" s="111"/>
      <c r="B424" s="112"/>
      <c r="C424" s="111"/>
      <c r="F424" s="111"/>
    </row>
    <row r="425" spans="1:6" s="56" customFormat="1" x14ac:dyDescent="0.35">
      <c r="A425" s="111"/>
      <c r="B425" s="112"/>
      <c r="C425" s="111"/>
      <c r="F425" s="111"/>
    </row>
    <row r="426" spans="1:6" s="56" customFormat="1" x14ac:dyDescent="0.35">
      <c r="A426" s="111"/>
      <c r="B426" s="112"/>
      <c r="C426" s="111"/>
      <c r="F426" s="111"/>
    </row>
    <row r="427" spans="1:6" s="56" customFormat="1" x14ac:dyDescent="0.35">
      <c r="A427" s="111"/>
      <c r="B427" s="112"/>
      <c r="C427" s="111"/>
      <c r="F427" s="111"/>
    </row>
    <row r="428" spans="1:6" s="56" customFormat="1" x14ac:dyDescent="0.35">
      <c r="A428" s="111"/>
      <c r="B428" s="112"/>
      <c r="C428" s="111"/>
      <c r="F428" s="111"/>
    </row>
    <row r="429" spans="1:6" s="56" customFormat="1" x14ac:dyDescent="0.35">
      <c r="A429" s="111"/>
      <c r="B429" s="112"/>
      <c r="C429" s="111"/>
      <c r="F429" s="111"/>
    </row>
    <row r="430" spans="1:6" s="56" customFormat="1" x14ac:dyDescent="0.35">
      <c r="A430" s="111"/>
      <c r="B430" s="112"/>
      <c r="C430" s="111"/>
      <c r="F430" s="111"/>
    </row>
    <row r="431" spans="1:6" s="56" customFormat="1" x14ac:dyDescent="0.35">
      <c r="A431" s="111"/>
      <c r="B431" s="112"/>
      <c r="C431" s="111"/>
      <c r="F431" s="111"/>
    </row>
    <row r="432" spans="1:6" s="56" customFormat="1" x14ac:dyDescent="0.35">
      <c r="A432" s="111"/>
      <c r="B432" s="112"/>
      <c r="C432" s="111"/>
      <c r="F432" s="111"/>
    </row>
    <row r="433" spans="1:6" s="56" customFormat="1" x14ac:dyDescent="0.35">
      <c r="A433" s="111"/>
      <c r="B433" s="112"/>
      <c r="C433" s="111"/>
      <c r="F433" s="111"/>
    </row>
    <row r="434" spans="1:6" s="56" customFormat="1" x14ac:dyDescent="0.35">
      <c r="A434" s="111"/>
      <c r="B434" s="112"/>
      <c r="C434" s="111"/>
      <c r="F434" s="111"/>
    </row>
    <row r="435" spans="1:6" s="56" customFormat="1" x14ac:dyDescent="0.35">
      <c r="A435" s="111"/>
      <c r="B435" s="112"/>
      <c r="C435" s="111"/>
      <c r="F435" s="111"/>
    </row>
    <row r="436" spans="1:6" s="56" customFormat="1" x14ac:dyDescent="0.35">
      <c r="A436" s="111"/>
      <c r="B436" s="112"/>
      <c r="C436" s="111"/>
      <c r="F436" s="111"/>
    </row>
    <row r="437" spans="1:6" s="56" customFormat="1" x14ac:dyDescent="0.35">
      <c r="A437" s="111"/>
      <c r="B437" s="112"/>
      <c r="C437" s="111"/>
      <c r="F437" s="111"/>
    </row>
    <row r="438" spans="1:6" s="56" customFormat="1" x14ac:dyDescent="0.35">
      <c r="A438" s="111"/>
      <c r="B438" s="112"/>
      <c r="C438" s="111"/>
      <c r="F438" s="111"/>
    </row>
    <row r="439" spans="1:6" s="56" customFormat="1" x14ac:dyDescent="0.35">
      <c r="A439" s="111"/>
      <c r="B439" s="112"/>
      <c r="C439" s="111"/>
      <c r="F439" s="111"/>
    </row>
    <row r="440" spans="1:6" s="56" customFormat="1" x14ac:dyDescent="0.35">
      <c r="A440" s="111"/>
      <c r="B440" s="112"/>
      <c r="C440" s="111"/>
      <c r="F440" s="111"/>
    </row>
    <row r="441" spans="1:6" s="56" customFormat="1" x14ac:dyDescent="0.35">
      <c r="A441" s="111"/>
      <c r="B441" s="112"/>
      <c r="C441" s="111"/>
      <c r="F441" s="111"/>
    </row>
    <row r="442" spans="1:6" s="56" customFormat="1" x14ac:dyDescent="0.35">
      <c r="A442" s="111"/>
      <c r="B442" s="112"/>
      <c r="C442" s="111"/>
      <c r="F442" s="111"/>
    </row>
    <row r="443" spans="1:6" s="56" customFormat="1" x14ac:dyDescent="0.35">
      <c r="A443" s="111"/>
      <c r="B443" s="112"/>
      <c r="C443" s="111"/>
      <c r="F443" s="111"/>
    </row>
    <row r="444" spans="1:6" s="56" customFormat="1" x14ac:dyDescent="0.35">
      <c r="A444" s="111"/>
      <c r="B444" s="112"/>
      <c r="C444" s="111"/>
      <c r="F444" s="111"/>
    </row>
    <row r="445" spans="1:6" s="56" customFormat="1" x14ac:dyDescent="0.35">
      <c r="A445" s="111"/>
      <c r="B445" s="112"/>
      <c r="C445" s="111"/>
      <c r="F445" s="111"/>
    </row>
    <row r="446" spans="1:6" s="56" customFormat="1" x14ac:dyDescent="0.35">
      <c r="A446" s="111"/>
      <c r="B446" s="112"/>
      <c r="C446" s="111"/>
      <c r="F446" s="111"/>
    </row>
    <row r="447" spans="1:6" s="56" customFormat="1" x14ac:dyDescent="0.35">
      <c r="A447" s="111"/>
      <c r="B447" s="112"/>
      <c r="C447" s="111"/>
      <c r="F447" s="111"/>
    </row>
    <row r="448" spans="1:6" s="56" customFormat="1" x14ac:dyDescent="0.35">
      <c r="A448" s="111"/>
      <c r="B448" s="112"/>
      <c r="C448" s="111"/>
      <c r="F448" s="111"/>
    </row>
    <row r="449" spans="1:6" s="56" customFormat="1" x14ac:dyDescent="0.35">
      <c r="A449" s="111"/>
      <c r="B449" s="112"/>
      <c r="C449" s="111"/>
      <c r="F449" s="111"/>
    </row>
    <row r="450" spans="1:6" s="56" customFormat="1" x14ac:dyDescent="0.35">
      <c r="A450" s="111"/>
      <c r="B450" s="112"/>
      <c r="C450" s="111"/>
      <c r="F450" s="111"/>
    </row>
    <row r="451" spans="1:6" s="56" customFormat="1" x14ac:dyDescent="0.35">
      <c r="A451" s="111"/>
      <c r="B451" s="112"/>
      <c r="C451" s="111"/>
      <c r="F451" s="111"/>
    </row>
    <row r="452" spans="1:6" s="56" customFormat="1" x14ac:dyDescent="0.35">
      <c r="A452" s="111"/>
      <c r="B452" s="112"/>
      <c r="C452" s="111"/>
      <c r="F452" s="111"/>
    </row>
    <row r="453" spans="1:6" s="56" customFormat="1" x14ac:dyDescent="0.35">
      <c r="A453" s="111"/>
      <c r="B453" s="112"/>
      <c r="C453" s="111"/>
      <c r="F453" s="111"/>
    </row>
    <row r="454" spans="1:6" s="56" customFormat="1" x14ac:dyDescent="0.35">
      <c r="A454" s="111"/>
      <c r="B454" s="112"/>
      <c r="C454" s="111"/>
      <c r="F454" s="111"/>
    </row>
    <row r="455" spans="1:6" s="56" customFormat="1" x14ac:dyDescent="0.35">
      <c r="A455" s="111"/>
      <c r="B455" s="112"/>
      <c r="C455" s="111"/>
      <c r="F455" s="111"/>
    </row>
    <row r="456" spans="1:6" s="56" customFormat="1" x14ac:dyDescent="0.35">
      <c r="A456" s="111"/>
      <c r="B456" s="112"/>
      <c r="C456" s="111"/>
      <c r="F456" s="111"/>
    </row>
    <row r="457" spans="1:6" s="56" customFormat="1" x14ac:dyDescent="0.35">
      <c r="A457" s="111"/>
      <c r="B457" s="112"/>
      <c r="C457" s="111"/>
      <c r="F457" s="111"/>
    </row>
    <row r="458" spans="1:6" s="56" customFormat="1" x14ac:dyDescent="0.35">
      <c r="A458" s="111"/>
      <c r="B458" s="112"/>
      <c r="C458" s="111"/>
      <c r="F458" s="111"/>
    </row>
    <row r="459" spans="1:6" s="56" customFormat="1" x14ac:dyDescent="0.35">
      <c r="A459" s="111"/>
      <c r="B459" s="112"/>
      <c r="C459" s="111"/>
      <c r="F459" s="111"/>
    </row>
    <row r="460" spans="1:6" s="56" customFormat="1" x14ac:dyDescent="0.35">
      <c r="A460" s="111"/>
      <c r="B460" s="112"/>
      <c r="C460" s="111"/>
      <c r="F460" s="111"/>
    </row>
    <row r="461" spans="1:6" s="56" customFormat="1" x14ac:dyDescent="0.35">
      <c r="A461" s="111"/>
      <c r="B461" s="112"/>
      <c r="C461" s="111"/>
      <c r="F461" s="111"/>
    </row>
    <row r="462" spans="1:6" s="56" customFormat="1" x14ac:dyDescent="0.35">
      <c r="A462" s="111"/>
      <c r="B462" s="112"/>
      <c r="C462" s="111"/>
      <c r="F462" s="111"/>
    </row>
    <row r="463" spans="1:6" s="56" customFormat="1" x14ac:dyDescent="0.35">
      <c r="A463" s="111"/>
      <c r="B463" s="112"/>
      <c r="C463" s="111"/>
      <c r="F463" s="111"/>
    </row>
    <row r="464" spans="1:6" s="56" customFormat="1" x14ac:dyDescent="0.35">
      <c r="A464" s="111"/>
      <c r="B464" s="112"/>
      <c r="C464" s="111"/>
      <c r="F464" s="111"/>
    </row>
    <row r="465" spans="1:6" s="56" customFormat="1" x14ac:dyDescent="0.35">
      <c r="A465" s="111"/>
      <c r="B465" s="112"/>
      <c r="C465" s="111"/>
      <c r="F465" s="111"/>
    </row>
    <row r="466" spans="1:6" s="56" customFormat="1" x14ac:dyDescent="0.35">
      <c r="A466" s="111"/>
      <c r="B466" s="112"/>
      <c r="C466" s="111"/>
      <c r="F466" s="111"/>
    </row>
    <row r="467" spans="1:6" s="56" customFormat="1" x14ac:dyDescent="0.35">
      <c r="A467" s="111"/>
      <c r="B467" s="112"/>
      <c r="C467" s="111"/>
      <c r="F467" s="111"/>
    </row>
    <row r="468" spans="1:6" s="56" customFormat="1" x14ac:dyDescent="0.35">
      <c r="A468" s="111"/>
      <c r="B468" s="112"/>
      <c r="C468" s="111"/>
      <c r="F468" s="111"/>
    </row>
    <row r="469" spans="1:6" s="56" customFormat="1" x14ac:dyDescent="0.35">
      <c r="A469" s="111"/>
      <c r="B469" s="112"/>
      <c r="C469" s="111"/>
      <c r="F469" s="111"/>
    </row>
    <row r="470" spans="1:6" s="56" customFormat="1" x14ac:dyDescent="0.35">
      <c r="A470" s="111"/>
      <c r="B470" s="112"/>
      <c r="C470" s="111"/>
      <c r="F470" s="111"/>
    </row>
    <row r="471" spans="1:6" s="56" customFormat="1" x14ac:dyDescent="0.35">
      <c r="A471" s="111"/>
      <c r="B471" s="112"/>
      <c r="C471" s="111"/>
      <c r="F471" s="111"/>
    </row>
    <row r="472" spans="1:6" s="56" customFormat="1" x14ac:dyDescent="0.35">
      <c r="A472" s="111"/>
      <c r="B472" s="112"/>
      <c r="C472" s="111"/>
      <c r="F472" s="111"/>
    </row>
    <row r="473" spans="1:6" s="56" customFormat="1" x14ac:dyDescent="0.35">
      <c r="A473" s="111"/>
      <c r="B473" s="112"/>
      <c r="C473" s="111"/>
      <c r="F473" s="111"/>
    </row>
    <row r="474" spans="1:6" s="56" customFormat="1" x14ac:dyDescent="0.35">
      <c r="A474" s="111"/>
      <c r="B474" s="112"/>
      <c r="C474" s="111"/>
      <c r="F474" s="111"/>
    </row>
    <row r="475" spans="1:6" s="56" customFormat="1" x14ac:dyDescent="0.35">
      <c r="A475" s="111"/>
      <c r="B475" s="112"/>
      <c r="C475" s="111"/>
      <c r="F475" s="111"/>
    </row>
    <row r="476" spans="1:6" s="56" customFormat="1" x14ac:dyDescent="0.35">
      <c r="A476" s="111"/>
      <c r="B476" s="112"/>
      <c r="C476" s="111"/>
      <c r="F476" s="111"/>
    </row>
    <row r="477" spans="1:6" s="56" customFormat="1" x14ac:dyDescent="0.35">
      <c r="A477" s="111"/>
      <c r="B477" s="112"/>
      <c r="C477" s="111"/>
      <c r="F477" s="111"/>
    </row>
    <row r="478" spans="1:6" s="56" customFormat="1" x14ac:dyDescent="0.35">
      <c r="A478" s="111"/>
      <c r="B478" s="112"/>
      <c r="C478" s="111"/>
      <c r="F478" s="111"/>
    </row>
    <row r="479" spans="1:6" s="56" customFormat="1" x14ac:dyDescent="0.35">
      <c r="A479" s="111"/>
      <c r="B479" s="112"/>
      <c r="C479" s="111"/>
      <c r="F479" s="111"/>
    </row>
    <row r="480" spans="1:6" s="56" customFormat="1" x14ac:dyDescent="0.35">
      <c r="A480" s="111"/>
      <c r="B480" s="112"/>
      <c r="C480" s="111"/>
      <c r="F480" s="111"/>
    </row>
    <row r="481" spans="1:6" s="56" customFormat="1" x14ac:dyDescent="0.35">
      <c r="A481" s="111"/>
      <c r="B481" s="112"/>
      <c r="C481" s="111"/>
      <c r="F481" s="111"/>
    </row>
    <row r="482" spans="1:6" s="56" customFormat="1" x14ac:dyDescent="0.35">
      <c r="A482" s="111"/>
      <c r="B482" s="112"/>
      <c r="C482" s="111"/>
      <c r="F482" s="111"/>
    </row>
    <row r="483" spans="1:6" s="56" customFormat="1" x14ac:dyDescent="0.35">
      <c r="A483" s="111"/>
      <c r="B483" s="112"/>
      <c r="C483" s="111"/>
      <c r="F483" s="111"/>
    </row>
    <row r="484" spans="1:6" s="56" customFormat="1" x14ac:dyDescent="0.35">
      <c r="A484" s="111"/>
      <c r="B484" s="112"/>
      <c r="C484" s="111"/>
      <c r="F484" s="111"/>
    </row>
    <row r="485" spans="1:6" s="56" customFormat="1" x14ac:dyDescent="0.35">
      <c r="A485" s="111"/>
      <c r="B485" s="112"/>
      <c r="C485" s="111"/>
      <c r="F485" s="111"/>
    </row>
    <row r="486" spans="1:6" s="56" customFormat="1" x14ac:dyDescent="0.35">
      <c r="A486" s="111"/>
      <c r="B486" s="112"/>
      <c r="C486" s="111"/>
      <c r="F486" s="111"/>
    </row>
    <row r="487" spans="1:6" s="56" customFormat="1" x14ac:dyDescent="0.35">
      <c r="A487" s="111"/>
      <c r="B487" s="112"/>
      <c r="C487" s="111"/>
      <c r="F487" s="111"/>
    </row>
    <row r="488" spans="1:6" s="56" customFormat="1" x14ac:dyDescent="0.35">
      <c r="A488" s="111"/>
      <c r="B488" s="112"/>
      <c r="C488" s="111"/>
      <c r="F488" s="111"/>
    </row>
    <row r="489" spans="1:6" s="56" customFormat="1" x14ac:dyDescent="0.35">
      <c r="A489" s="111"/>
      <c r="B489" s="112"/>
      <c r="C489" s="111"/>
      <c r="F489" s="111"/>
    </row>
    <row r="490" spans="1:6" s="56" customFormat="1" x14ac:dyDescent="0.35">
      <c r="A490" s="111"/>
      <c r="B490" s="112"/>
      <c r="C490" s="111"/>
      <c r="F490" s="111"/>
    </row>
    <row r="491" spans="1:6" s="56" customFormat="1" x14ac:dyDescent="0.35">
      <c r="A491" s="111"/>
      <c r="B491" s="112"/>
      <c r="C491" s="111"/>
      <c r="F491" s="111"/>
    </row>
    <row r="492" spans="1:6" s="56" customFormat="1" x14ac:dyDescent="0.35">
      <c r="A492" s="111"/>
      <c r="B492" s="112"/>
      <c r="C492" s="111"/>
      <c r="F492" s="111"/>
    </row>
    <row r="493" spans="1:6" s="56" customFormat="1" x14ac:dyDescent="0.35">
      <c r="A493" s="111"/>
      <c r="B493" s="112"/>
      <c r="C493" s="111"/>
      <c r="F493" s="111"/>
    </row>
    <row r="494" spans="1:6" s="56" customFormat="1" x14ac:dyDescent="0.35">
      <c r="A494" s="111"/>
      <c r="B494" s="112"/>
      <c r="C494" s="111"/>
      <c r="F494" s="111"/>
    </row>
    <row r="495" spans="1:6" s="56" customFormat="1" x14ac:dyDescent="0.35">
      <c r="A495" s="111"/>
      <c r="B495" s="112"/>
      <c r="C495" s="111"/>
      <c r="F495" s="111"/>
    </row>
    <row r="496" spans="1:6" s="56" customFormat="1" x14ac:dyDescent="0.35">
      <c r="A496" s="111"/>
      <c r="B496" s="112"/>
      <c r="C496" s="111"/>
      <c r="F496" s="111"/>
    </row>
    <row r="497" spans="1:6" s="56" customFormat="1" x14ac:dyDescent="0.35">
      <c r="A497" s="111"/>
      <c r="B497" s="112"/>
      <c r="C497" s="111"/>
      <c r="F497" s="111"/>
    </row>
    <row r="498" spans="1:6" s="56" customFormat="1" x14ac:dyDescent="0.35">
      <c r="A498" s="111"/>
      <c r="B498" s="112"/>
      <c r="C498" s="111"/>
      <c r="F498" s="111"/>
    </row>
    <row r="499" spans="1:6" s="56" customFormat="1" x14ac:dyDescent="0.35">
      <c r="A499" s="111"/>
      <c r="B499" s="112"/>
      <c r="C499" s="111"/>
      <c r="F499" s="111"/>
    </row>
    <row r="500" spans="1:6" s="56" customFormat="1" x14ac:dyDescent="0.35">
      <c r="A500" s="111"/>
      <c r="B500" s="112"/>
      <c r="C500" s="111"/>
      <c r="F500" s="111"/>
    </row>
    <row r="501" spans="1:6" s="56" customFormat="1" x14ac:dyDescent="0.35">
      <c r="A501" s="111"/>
      <c r="B501" s="112"/>
      <c r="C501" s="111"/>
      <c r="F501" s="111"/>
    </row>
    <row r="502" spans="1:6" s="56" customFormat="1" x14ac:dyDescent="0.35">
      <c r="A502" s="111"/>
      <c r="B502" s="112"/>
      <c r="C502" s="111"/>
      <c r="F502" s="111"/>
    </row>
    <row r="503" spans="1:6" s="56" customFormat="1" x14ac:dyDescent="0.35">
      <c r="A503" s="111"/>
      <c r="B503" s="112"/>
      <c r="C503" s="111"/>
      <c r="F503" s="111"/>
    </row>
    <row r="504" spans="1:6" s="56" customFormat="1" x14ac:dyDescent="0.35">
      <c r="A504" s="111"/>
      <c r="B504" s="112"/>
      <c r="C504" s="111"/>
      <c r="F504" s="111"/>
    </row>
    <row r="505" spans="1:6" s="56" customFormat="1" x14ac:dyDescent="0.35">
      <c r="A505" s="111"/>
      <c r="B505" s="112"/>
      <c r="C505" s="111"/>
      <c r="F505" s="111"/>
    </row>
    <row r="506" spans="1:6" s="56" customFormat="1" x14ac:dyDescent="0.35">
      <c r="A506" s="111"/>
      <c r="B506" s="112"/>
      <c r="C506" s="111"/>
      <c r="F506" s="111"/>
    </row>
    <row r="507" spans="1:6" s="56" customFormat="1" x14ac:dyDescent="0.35">
      <c r="A507" s="111"/>
      <c r="B507" s="112"/>
      <c r="C507" s="111"/>
      <c r="F507" s="111"/>
    </row>
    <row r="508" spans="1:6" s="56" customFormat="1" x14ac:dyDescent="0.35">
      <c r="A508" s="111"/>
      <c r="B508" s="112"/>
      <c r="C508" s="111"/>
      <c r="F508" s="111"/>
    </row>
    <row r="509" spans="1:6" s="56" customFormat="1" x14ac:dyDescent="0.35">
      <c r="A509" s="111"/>
      <c r="B509" s="112"/>
      <c r="C509" s="111"/>
      <c r="F509" s="111"/>
    </row>
    <row r="510" spans="1:6" s="56" customFormat="1" x14ac:dyDescent="0.35">
      <c r="A510" s="111"/>
      <c r="B510" s="112"/>
      <c r="C510" s="111"/>
      <c r="F510" s="111"/>
    </row>
    <row r="511" spans="1:6" s="56" customFormat="1" x14ac:dyDescent="0.35">
      <c r="A511" s="111"/>
      <c r="B511" s="112"/>
      <c r="C511" s="111"/>
      <c r="F511" s="111"/>
    </row>
    <row r="512" spans="1:6" s="56" customFormat="1" x14ac:dyDescent="0.35">
      <c r="A512" s="111"/>
      <c r="B512" s="112"/>
      <c r="C512" s="111"/>
      <c r="F512" s="111"/>
    </row>
    <row r="513" spans="1:6" s="56" customFormat="1" x14ac:dyDescent="0.35">
      <c r="A513" s="111"/>
      <c r="B513" s="112"/>
      <c r="C513" s="111"/>
      <c r="F513" s="111"/>
    </row>
    <row r="514" spans="1:6" s="56" customFormat="1" x14ac:dyDescent="0.35">
      <c r="A514" s="111"/>
      <c r="B514" s="112"/>
      <c r="C514" s="111"/>
      <c r="F514" s="111"/>
    </row>
    <row r="515" spans="1:6" s="56" customFormat="1" x14ac:dyDescent="0.35">
      <c r="A515" s="111"/>
      <c r="B515" s="112"/>
      <c r="C515" s="111"/>
      <c r="F515" s="111"/>
    </row>
    <row r="516" spans="1:6" s="56" customFormat="1" x14ac:dyDescent="0.35">
      <c r="A516" s="111"/>
      <c r="B516" s="112"/>
      <c r="C516" s="111"/>
      <c r="F516" s="111"/>
    </row>
    <row r="517" spans="1:6" s="56" customFormat="1" x14ac:dyDescent="0.35">
      <c r="A517" s="111"/>
      <c r="B517" s="112"/>
      <c r="C517" s="111"/>
      <c r="F517" s="111"/>
    </row>
    <row r="518" spans="1:6" s="56" customFormat="1" x14ac:dyDescent="0.35">
      <c r="A518" s="111"/>
      <c r="B518" s="112"/>
      <c r="C518" s="111"/>
      <c r="F518" s="111"/>
    </row>
    <row r="519" spans="1:6" s="56" customFormat="1" x14ac:dyDescent="0.35">
      <c r="A519" s="111"/>
      <c r="B519" s="112"/>
      <c r="C519" s="111"/>
      <c r="F519" s="111"/>
    </row>
    <row r="520" spans="1:6" s="56" customFormat="1" x14ac:dyDescent="0.35">
      <c r="A520" s="111"/>
      <c r="B520" s="112"/>
      <c r="C520" s="111"/>
      <c r="F520" s="111"/>
    </row>
    <row r="521" spans="1:6" s="56" customFormat="1" x14ac:dyDescent="0.35">
      <c r="A521" s="111"/>
      <c r="B521" s="112"/>
      <c r="C521" s="111"/>
      <c r="F521" s="111"/>
    </row>
    <row r="522" spans="1:6" s="56" customFormat="1" x14ac:dyDescent="0.35">
      <c r="A522" s="111"/>
      <c r="B522" s="112"/>
      <c r="C522" s="111"/>
      <c r="F522" s="111"/>
    </row>
    <row r="523" spans="1:6" s="56" customFormat="1" x14ac:dyDescent="0.35">
      <c r="A523" s="111"/>
      <c r="B523" s="112"/>
      <c r="C523" s="111"/>
      <c r="F523" s="111"/>
    </row>
    <row r="524" spans="1:6" s="56" customFormat="1" x14ac:dyDescent="0.35">
      <c r="A524" s="111"/>
      <c r="B524" s="112"/>
      <c r="C524" s="111"/>
      <c r="F524" s="111"/>
    </row>
    <row r="525" spans="1:6" s="56" customFormat="1" x14ac:dyDescent="0.35">
      <c r="A525" s="111"/>
      <c r="B525" s="112"/>
      <c r="C525" s="111"/>
      <c r="F525" s="111"/>
    </row>
    <row r="526" spans="1:6" s="56" customFormat="1" x14ac:dyDescent="0.35">
      <c r="A526" s="111"/>
      <c r="B526" s="112"/>
      <c r="C526" s="111"/>
      <c r="F526" s="111"/>
    </row>
    <row r="527" spans="1:6" s="56" customFormat="1" x14ac:dyDescent="0.35">
      <c r="A527" s="111"/>
      <c r="B527" s="112"/>
      <c r="C527" s="111"/>
      <c r="F527" s="111"/>
    </row>
    <row r="528" spans="1:6" s="56" customFormat="1" x14ac:dyDescent="0.35">
      <c r="A528" s="111"/>
      <c r="B528" s="112"/>
      <c r="C528" s="111"/>
      <c r="F528" s="111"/>
    </row>
    <row r="529" spans="1:6" s="56" customFormat="1" x14ac:dyDescent="0.35">
      <c r="A529" s="111"/>
      <c r="B529" s="112"/>
      <c r="C529" s="111"/>
      <c r="F529" s="111"/>
    </row>
    <row r="530" spans="1:6" s="56" customFormat="1" x14ac:dyDescent="0.35">
      <c r="A530" s="111"/>
      <c r="B530" s="112"/>
      <c r="C530" s="111"/>
      <c r="F530" s="111"/>
    </row>
    <row r="531" spans="1:6" s="56" customFormat="1" x14ac:dyDescent="0.35">
      <c r="A531" s="111"/>
      <c r="B531" s="112"/>
      <c r="C531" s="111"/>
      <c r="F531" s="111"/>
    </row>
    <row r="532" spans="1:6" s="56" customFormat="1" x14ac:dyDescent="0.35">
      <c r="A532" s="111"/>
      <c r="B532" s="112"/>
      <c r="C532" s="111"/>
      <c r="F532" s="111"/>
    </row>
    <row r="533" spans="1:6" s="56" customFormat="1" x14ac:dyDescent="0.35">
      <c r="A533" s="111"/>
      <c r="B533" s="112"/>
      <c r="C533" s="111"/>
      <c r="F533" s="111"/>
    </row>
    <row r="534" spans="1:6" s="56" customFormat="1" x14ac:dyDescent="0.35">
      <c r="A534" s="111"/>
      <c r="B534" s="112"/>
      <c r="C534" s="111"/>
      <c r="F534" s="111"/>
    </row>
    <row r="535" spans="1:6" s="56" customFormat="1" x14ac:dyDescent="0.35">
      <c r="A535" s="111"/>
      <c r="B535" s="112"/>
      <c r="C535" s="111"/>
      <c r="F535" s="111"/>
    </row>
    <row r="536" spans="1:6" s="56" customFormat="1" x14ac:dyDescent="0.35">
      <c r="A536" s="111"/>
      <c r="B536" s="112"/>
      <c r="C536" s="111"/>
      <c r="F536" s="111"/>
    </row>
    <row r="537" spans="1:6" s="56" customFormat="1" x14ac:dyDescent="0.35">
      <c r="A537" s="111"/>
      <c r="B537" s="112"/>
      <c r="C537" s="111"/>
      <c r="F537" s="111"/>
    </row>
    <row r="538" spans="1:6" s="56" customFormat="1" x14ac:dyDescent="0.35">
      <c r="A538" s="111"/>
      <c r="B538" s="112"/>
      <c r="C538" s="111"/>
      <c r="F538" s="111"/>
    </row>
    <row r="539" spans="1:6" s="56" customFormat="1" x14ac:dyDescent="0.35">
      <c r="A539" s="111"/>
      <c r="B539" s="112"/>
      <c r="C539" s="111"/>
      <c r="F539" s="111"/>
    </row>
    <row r="540" spans="1:6" s="56" customFormat="1" x14ac:dyDescent="0.35">
      <c r="A540" s="111"/>
      <c r="B540" s="112"/>
      <c r="C540" s="111"/>
      <c r="F540" s="111"/>
    </row>
    <row r="541" spans="1:6" s="56" customFormat="1" x14ac:dyDescent="0.35">
      <c r="A541" s="111"/>
      <c r="B541" s="112"/>
      <c r="C541" s="111"/>
      <c r="F541" s="111"/>
    </row>
    <row r="542" spans="1:6" s="56" customFormat="1" x14ac:dyDescent="0.35">
      <c r="A542" s="111"/>
      <c r="B542" s="112"/>
      <c r="C542" s="111"/>
      <c r="F542" s="111"/>
    </row>
    <row r="543" spans="1:6" s="56" customFormat="1" x14ac:dyDescent="0.35">
      <c r="A543" s="111"/>
      <c r="B543" s="112"/>
      <c r="C543" s="111"/>
      <c r="F543" s="111"/>
    </row>
    <row r="544" spans="1:6" s="56" customFormat="1" x14ac:dyDescent="0.35">
      <c r="A544" s="111"/>
      <c r="B544" s="112"/>
      <c r="C544" s="111"/>
      <c r="F544" s="111"/>
    </row>
    <row r="545" spans="1:6" s="56" customFormat="1" x14ac:dyDescent="0.35">
      <c r="A545" s="111"/>
      <c r="B545" s="112"/>
      <c r="C545" s="111"/>
      <c r="F545" s="111"/>
    </row>
    <row r="546" spans="1:6" s="56" customFormat="1" x14ac:dyDescent="0.35">
      <c r="A546" s="111"/>
      <c r="B546" s="112"/>
      <c r="C546" s="111"/>
      <c r="F546" s="111"/>
    </row>
    <row r="547" spans="1:6" s="56" customFormat="1" x14ac:dyDescent="0.35">
      <c r="A547" s="111"/>
      <c r="B547" s="112"/>
      <c r="C547" s="111"/>
      <c r="F547" s="111"/>
    </row>
    <row r="548" spans="1:6" s="56" customFormat="1" x14ac:dyDescent="0.35">
      <c r="A548" s="111"/>
      <c r="B548" s="112"/>
      <c r="C548" s="111"/>
      <c r="F548" s="111"/>
    </row>
    <row r="549" spans="1:6" s="56" customFormat="1" x14ac:dyDescent="0.35">
      <c r="A549" s="111"/>
      <c r="B549" s="112"/>
      <c r="C549" s="111"/>
      <c r="F549" s="111"/>
    </row>
    <row r="550" spans="1:6" s="56" customFormat="1" x14ac:dyDescent="0.35">
      <c r="A550" s="111"/>
      <c r="B550" s="112"/>
      <c r="C550" s="111"/>
      <c r="F550" s="111"/>
    </row>
    <row r="551" spans="1:6" s="56" customFormat="1" x14ac:dyDescent="0.35">
      <c r="A551" s="111"/>
      <c r="B551" s="112"/>
      <c r="C551" s="111"/>
      <c r="F551" s="111"/>
    </row>
    <row r="552" spans="1:6" s="56" customFormat="1" x14ac:dyDescent="0.35">
      <c r="A552" s="111"/>
      <c r="B552" s="112"/>
      <c r="C552" s="111"/>
      <c r="F552" s="111"/>
    </row>
    <row r="553" spans="1:6" s="56" customFormat="1" x14ac:dyDescent="0.35">
      <c r="A553" s="111"/>
      <c r="B553" s="112"/>
      <c r="C553" s="111"/>
      <c r="F553" s="111"/>
    </row>
    <row r="554" spans="1:6" s="56" customFormat="1" x14ac:dyDescent="0.35">
      <c r="A554" s="111"/>
      <c r="B554" s="112"/>
      <c r="C554" s="111"/>
      <c r="F554" s="111"/>
    </row>
    <row r="555" spans="1:6" s="56" customFormat="1" x14ac:dyDescent="0.35">
      <c r="A555" s="111"/>
      <c r="B555" s="112"/>
      <c r="C555" s="111"/>
      <c r="F555" s="111"/>
    </row>
    <row r="556" spans="1:6" s="56" customFormat="1" x14ac:dyDescent="0.35">
      <c r="A556" s="111"/>
      <c r="B556" s="112"/>
      <c r="C556" s="111"/>
      <c r="F556" s="111"/>
    </row>
    <row r="557" spans="1:6" s="56" customFormat="1" x14ac:dyDescent="0.35">
      <c r="A557" s="111"/>
      <c r="B557" s="112"/>
      <c r="C557" s="111"/>
      <c r="F557" s="111"/>
    </row>
    <row r="558" spans="1:6" s="56" customFormat="1" x14ac:dyDescent="0.35">
      <c r="A558" s="111"/>
      <c r="B558" s="112"/>
      <c r="C558" s="111"/>
      <c r="F558" s="111"/>
    </row>
    <row r="559" spans="1:6" s="56" customFormat="1" x14ac:dyDescent="0.35">
      <c r="A559" s="111"/>
      <c r="B559" s="112"/>
      <c r="C559" s="111"/>
      <c r="F559" s="111"/>
    </row>
    <row r="560" spans="1:6" s="56" customFormat="1" x14ac:dyDescent="0.35">
      <c r="A560" s="111"/>
      <c r="B560" s="112"/>
      <c r="C560" s="111"/>
      <c r="F560" s="111"/>
    </row>
    <row r="561" spans="1:6" s="56" customFormat="1" x14ac:dyDescent="0.35">
      <c r="A561" s="111"/>
      <c r="B561" s="112"/>
      <c r="C561" s="111"/>
      <c r="F561" s="111"/>
    </row>
    <row r="562" spans="1:6" s="56" customFormat="1" x14ac:dyDescent="0.35">
      <c r="A562" s="111"/>
      <c r="B562" s="112"/>
      <c r="C562" s="111"/>
      <c r="F562" s="111"/>
    </row>
    <row r="563" spans="1:6" s="56" customFormat="1" x14ac:dyDescent="0.35">
      <c r="A563" s="111"/>
      <c r="B563" s="112"/>
      <c r="C563" s="111"/>
      <c r="F563" s="111"/>
    </row>
    <row r="564" spans="1:6" s="56" customFormat="1" x14ac:dyDescent="0.35">
      <c r="A564" s="111"/>
      <c r="B564" s="112"/>
      <c r="C564" s="111"/>
      <c r="F564" s="111"/>
    </row>
    <row r="565" spans="1:6" s="56" customFormat="1" x14ac:dyDescent="0.35">
      <c r="A565" s="111"/>
      <c r="B565" s="112"/>
      <c r="C565" s="111"/>
      <c r="F565" s="111"/>
    </row>
    <row r="566" spans="1:6" s="56" customFormat="1" x14ac:dyDescent="0.35">
      <c r="A566" s="111"/>
      <c r="B566" s="112"/>
      <c r="C566" s="111"/>
      <c r="F566" s="111"/>
    </row>
    <row r="567" spans="1:6" s="56" customFormat="1" x14ac:dyDescent="0.35">
      <c r="A567" s="111"/>
      <c r="B567" s="112"/>
      <c r="C567" s="111"/>
      <c r="F567" s="111"/>
    </row>
    <row r="568" spans="1:6" s="56" customFormat="1" x14ac:dyDescent="0.35">
      <c r="A568" s="111"/>
      <c r="B568" s="112"/>
      <c r="C568" s="111"/>
      <c r="F568" s="111"/>
    </row>
    <row r="569" spans="1:6" s="56" customFormat="1" x14ac:dyDescent="0.35">
      <c r="A569" s="111"/>
      <c r="B569" s="112"/>
      <c r="C569" s="111"/>
      <c r="F569" s="111"/>
    </row>
    <row r="570" spans="1:6" s="56" customFormat="1" x14ac:dyDescent="0.35">
      <c r="A570" s="111"/>
      <c r="B570" s="112"/>
      <c r="C570" s="111"/>
      <c r="F570" s="111"/>
    </row>
    <row r="571" spans="1:6" s="56" customFormat="1" x14ac:dyDescent="0.35">
      <c r="A571" s="111"/>
      <c r="B571" s="112"/>
      <c r="C571" s="111"/>
      <c r="F571" s="111"/>
    </row>
    <row r="572" spans="1:6" s="56" customFormat="1" x14ac:dyDescent="0.35">
      <c r="A572" s="111"/>
      <c r="B572" s="112"/>
      <c r="C572" s="111"/>
      <c r="F572" s="111"/>
    </row>
    <row r="573" spans="1:6" s="56" customFormat="1" x14ac:dyDescent="0.35">
      <c r="A573" s="111"/>
      <c r="B573" s="112"/>
      <c r="C573" s="111"/>
      <c r="F573" s="111"/>
    </row>
    <row r="574" spans="1:6" s="56" customFormat="1" x14ac:dyDescent="0.35">
      <c r="A574" s="111"/>
      <c r="B574" s="112"/>
      <c r="C574" s="111"/>
      <c r="F574" s="111"/>
    </row>
    <row r="575" spans="1:6" s="56" customFormat="1" x14ac:dyDescent="0.35">
      <c r="A575" s="111"/>
      <c r="B575" s="112"/>
      <c r="C575" s="111"/>
      <c r="F575" s="111"/>
    </row>
    <row r="576" spans="1:6" s="56" customFormat="1" x14ac:dyDescent="0.35">
      <c r="A576" s="111"/>
      <c r="B576" s="112"/>
      <c r="C576" s="111"/>
      <c r="F576" s="111"/>
    </row>
    <row r="577" spans="1:6" s="56" customFormat="1" x14ac:dyDescent="0.35">
      <c r="A577" s="111"/>
      <c r="B577" s="112"/>
      <c r="C577" s="111"/>
      <c r="F577" s="111"/>
    </row>
    <row r="578" spans="1:6" s="56" customFormat="1" x14ac:dyDescent="0.35">
      <c r="A578" s="111"/>
      <c r="B578" s="112"/>
      <c r="C578" s="111"/>
      <c r="F578" s="111"/>
    </row>
    <row r="579" spans="1:6" s="56" customFormat="1" x14ac:dyDescent="0.35">
      <c r="A579" s="111"/>
      <c r="B579" s="112"/>
      <c r="C579" s="111"/>
      <c r="F579" s="111"/>
    </row>
    <row r="580" spans="1:6" s="56" customFormat="1" x14ac:dyDescent="0.35">
      <c r="A580" s="111"/>
      <c r="B580" s="112"/>
      <c r="C580" s="111"/>
      <c r="F580" s="111"/>
    </row>
    <row r="581" spans="1:6" s="56" customFormat="1" x14ac:dyDescent="0.35">
      <c r="A581" s="111"/>
      <c r="B581" s="112"/>
      <c r="C581" s="111"/>
      <c r="F581" s="111"/>
    </row>
    <row r="582" spans="1:6" s="56" customFormat="1" x14ac:dyDescent="0.35">
      <c r="A582" s="111"/>
      <c r="B582" s="112"/>
      <c r="C582" s="111"/>
      <c r="F582" s="111"/>
    </row>
    <row r="583" spans="1:6" s="56" customFormat="1" x14ac:dyDescent="0.35">
      <c r="A583" s="111"/>
      <c r="B583" s="112"/>
      <c r="C583" s="111"/>
      <c r="F583" s="111"/>
    </row>
    <row r="584" spans="1:6" s="56" customFormat="1" x14ac:dyDescent="0.35">
      <c r="A584" s="111"/>
      <c r="B584" s="112"/>
      <c r="C584" s="111"/>
      <c r="F584" s="111"/>
    </row>
    <row r="585" spans="1:6" s="56" customFormat="1" x14ac:dyDescent="0.35">
      <c r="A585" s="111"/>
      <c r="B585" s="112"/>
      <c r="C585" s="111"/>
      <c r="F585" s="111"/>
    </row>
    <row r="586" spans="1:6" s="56" customFormat="1" x14ac:dyDescent="0.35">
      <c r="A586" s="111"/>
      <c r="B586" s="112"/>
      <c r="C586" s="111"/>
      <c r="F586" s="111"/>
    </row>
    <row r="587" spans="1:6" s="56" customFormat="1" x14ac:dyDescent="0.35">
      <c r="A587" s="111"/>
      <c r="B587" s="112"/>
      <c r="C587" s="111"/>
      <c r="F587" s="111"/>
    </row>
    <row r="588" spans="1:6" s="56" customFormat="1" x14ac:dyDescent="0.35">
      <c r="A588" s="111"/>
      <c r="B588" s="112"/>
      <c r="C588" s="111"/>
      <c r="F588" s="111"/>
    </row>
    <row r="589" spans="1:6" s="56" customFormat="1" x14ac:dyDescent="0.35">
      <c r="A589" s="111"/>
      <c r="B589" s="112"/>
      <c r="C589" s="111"/>
      <c r="F589" s="111"/>
    </row>
    <row r="590" spans="1:6" s="56" customFormat="1" x14ac:dyDescent="0.35">
      <c r="A590" s="111"/>
      <c r="B590" s="112"/>
      <c r="C590" s="111"/>
      <c r="F590" s="111"/>
    </row>
    <row r="591" spans="1:6" s="56" customFormat="1" x14ac:dyDescent="0.35">
      <c r="A591" s="111"/>
      <c r="B591" s="112"/>
      <c r="C591" s="111"/>
      <c r="F591" s="111"/>
    </row>
    <row r="592" spans="1:6" s="56" customFormat="1" x14ac:dyDescent="0.35">
      <c r="A592" s="111"/>
      <c r="B592" s="112"/>
      <c r="C592" s="111"/>
      <c r="F592" s="111"/>
    </row>
    <row r="593" spans="1:6" s="56" customFormat="1" x14ac:dyDescent="0.35">
      <c r="A593" s="111"/>
      <c r="B593" s="112"/>
      <c r="C593" s="111"/>
      <c r="F593" s="111"/>
    </row>
    <row r="594" spans="1:6" s="56" customFormat="1" x14ac:dyDescent="0.35">
      <c r="A594" s="111"/>
      <c r="B594" s="112"/>
      <c r="C594" s="111"/>
      <c r="F594" s="111"/>
    </row>
    <row r="595" spans="1:6" s="56" customFormat="1" x14ac:dyDescent="0.35">
      <c r="A595" s="111"/>
      <c r="B595" s="112"/>
      <c r="C595" s="111"/>
      <c r="F595" s="111"/>
    </row>
    <row r="596" spans="1:6" s="56" customFormat="1" x14ac:dyDescent="0.35">
      <c r="A596" s="111"/>
      <c r="B596" s="112"/>
      <c r="C596" s="111"/>
      <c r="F596" s="111"/>
    </row>
    <row r="597" spans="1:6" s="56" customFormat="1" x14ac:dyDescent="0.35">
      <c r="A597" s="111"/>
      <c r="B597" s="112"/>
      <c r="C597" s="111"/>
      <c r="F597" s="111"/>
    </row>
    <row r="598" spans="1:6" s="56" customFormat="1" x14ac:dyDescent="0.35">
      <c r="A598" s="111"/>
      <c r="B598" s="112"/>
      <c r="C598" s="111"/>
      <c r="F598" s="111"/>
    </row>
    <row r="599" spans="1:6" s="56" customFormat="1" x14ac:dyDescent="0.35">
      <c r="A599" s="111"/>
      <c r="B599" s="112"/>
      <c r="C599" s="111"/>
      <c r="F599" s="111"/>
    </row>
    <row r="600" spans="1:6" s="56" customFormat="1" x14ac:dyDescent="0.35">
      <c r="A600" s="111"/>
      <c r="B600" s="112"/>
      <c r="C600" s="111"/>
      <c r="F600" s="111"/>
    </row>
    <row r="601" spans="1:6" s="56" customFormat="1" x14ac:dyDescent="0.35">
      <c r="A601" s="111"/>
      <c r="B601" s="112"/>
      <c r="C601" s="111"/>
      <c r="F601" s="111"/>
    </row>
    <row r="602" spans="1:6" s="56" customFormat="1" x14ac:dyDescent="0.35">
      <c r="A602" s="111"/>
      <c r="B602" s="112"/>
      <c r="C602" s="111"/>
      <c r="F602" s="111"/>
    </row>
    <row r="603" spans="1:6" s="56" customFormat="1" x14ac:dyDescent="0.35">
      <c r="A603" s="111"/>
      <c r="B603" s="112"/>
      <c r="C603" s="111"/>
      <c r="F603" s="111"/>
    </row>
    <row r="604" spans="1:6" s="56" customFormat="1" x14ac:dyDescent="0.35">
      <c r="A604" s="111"/>
      <c r="B604" s="112"/>
      <c r="C604" s="111"/>
      <c r="F604" s="111"/>
    </row>
    <row r="605" spans="1:6" s="56" customFormat="1" x14ac:dyDescent="0.35">
      <c r="A605" s="111"/>
      <c r="B605" s="112"/>
      <c r="C605" s="111"/>
      <c r="F605" s="111"/>
    </row>
    <row r="606" spans="1:6" s="56" customFormat="1" x14ac:dyDescent="0.35">
      <c r="A606" s="111"/>
      <c r="B606" s="112"/>
      <c r="C606" s="111"/>
      <c r="F606" s="111"/>
    </row>
    <row r="607" spans="1:6" s="56" customFormat="1" x14ac:dyDescent="0.35">
      <c r="A607" s="111"/>
      <c r="B607" s="112"/>
      <c r="C607" s="111"/>
      <c r="F607" s="111"/>
    </row>
    <row r="608" spans="1:6" s="56" customFormat="1" x14ac:dyDescent="0.35">
      <c r="A608" s="111"/>
      <c r="B608" s="112"/>
      <c r="C608" s="111"/>
      <c r="F608" s="111"/>
    </row>
    <row r="609" spans="1:6" s="56" customFormat="1" x14ac:dyDescent="0.35">
      <c r="A609" s="111"/>
      <c r="B609" s="112"/>
      <c r="C609" s="111"/>
      <c r="F609" s="111"/>
    </row>
    <row r="610" spans="1:6" s="56" customFormat="1" x14ac:dyDescent="0.35">
      <c r="A610" s="111"/>
      <c r="B610" s="112"/>
      <c r="C610" s="111"/>
      <c r="F610" s="111"/>
    </row>
    <row r="611" spans="1:6" s="56" customFormat="1" x14ac:dyDescent="0.35">
      <c r="A611" s="111"/>
      <c r="B611" s="112"/>
      <c r="C611" s="111"/>
      <c r="F611" s="111"/>
    </row>
    <row r="612" spans="1:6" s="56" customFormat="1" x14ac:dyDescent="0.35">
      <c r="A612" s="111"/>
      <c r="B612" s="112"/>
      <c r="C612" s="111"/>
      <c r="F612" s="111"/>
    </row>
    <row r="613" spans="1:6" s="56" customFormat="1" x14ac:dyDescent="0.35">
      <c r="A613" s="111"/>
      <c r="B613" s="112"/>
      <c r="C613" s="111"/>
      <c r="F613" s="111"/>
    </row>
    <row r="614" spans="1:6" s="56" customFormat="1" x14ac:dyDescent="0.35">
      <c r="A614" s="111"/>
      <c r="B614" s="112"/>
      <c r="C614" s="111"/>
      <c r="F614" s="111"/>
    </row>
    <row r="615" spans="1:6" s="56" customFormat="1" x14ac:dyDescent="0.35">
      <c r="A615" s="111"/>
      <c r="B615" s="112"/>
      <c r="C615" s="111"/>
      <c r="F615" s="111"/>
    </row>
    <row r="616" spans="1:6" s="56" customFormat="1" x14ac:dyDescent="0.35">
      <c r="A616" s="111"/>
      <c r="B616" s="112"/>
      <c r="C616" s="111"/>
      <c r="F616" s="111"/>
    </row>
    <row r="617" spans="1:6" s="56" customFormat="1" x14ac:dyDescent="0.35">
      <c r="A617" s="111"/>
      <c r="B617" s="112"/>
      <c r="C617" s="111"/>
      <c r="F617" s="111"/>
    </row>
    <row r="618" spans="1:6" s="56" customFormat="1" x14ac:dyDescent="0.35">
      <c r="A618" s="111"/>
      <c r="B618" s="112"/>
      <c r="C618" s="111"/>
      <c r="F618" s="111"/>
    </row>
    <row r="619" spans="1:6" s="56" customFormat="1" x14ac:dyDescent="0.35">
      <c r="A619" s="111"/>
      <c r="B619" s="112"/>
      <c r="C619" s="111"/>
      <c r="F619" s="111"/>
    </row>
    <row r="620" spans="1:6" s="56" customFormat="1" x14ac:dyDescent="0.35">
      <c r="A620" s="111"/>
      <c r="B620" s="112"/>
      <c r="C620" s="111"/>
      <c r="F620" s="111"/>
    </row>
    <row r="621" spans="1:6" s="56" customFormat="1" x14ac:dyDescent="0.35">
      <c r="A621" s="111"/>
      <c r="B621" s="112"/>
      <c r="C621" s="111"/>
      <c r="F621" s="111"/>
    </row>
    <row r="622" spans="1:6" s="56" customFormat="1" x14ac:dyDescent="0.35">
      <c r="A622" s="111"/>
      <c r="B622" s="112"/>
      <c r="C622" s="111"/>
      <c r="F622" s="111"/>
    </row>
    <row r="623" spans="1:6" s="56" customFormat="1" x14ac:dyDescent="0.35">
      <c r="A623" s="111"/>
      <c r="B623" s="112"/>
      <c r="C623" s="111"/>
      <c r="F623" s="111"/>
    </row>
    <row r="624" spans="1:6" s="56" customFormat="1" x14ac:dyDescent="0.35">
      <c r="A624" s="111"/>
      <c r="B624" s="112"/>
      <c r="C624" s="111"/>
      <c r="F624" s="111"/>
    </row>
    <row r="625" spans="1:6" s="56" customFormat="1" x14ac:dyDescent="0.35">
      <c r="A625" s="111"/>
      <c r="B625" s="112"/>
      <c r="C625" s="111"/>
      <c r="F625" s="111"/>
    </row>
    <row r="626" spans="1:6" s="56" customFormat="1" x14ac:dyDescent="0.35">
      <c r="A626" s="111"/>
      <c r="B626" s="112"/>
      <c r="C626" s="111"/>
      <c r="F626" s="111"/>
    </row>
    <row r="627" spans="1:6" s="56" customFormat="1" x14ac:dyDescent="0.35">
      <c r="A627" s="111"/>
      <c r="B627" s="112"/>
      <c r="C627" s="111"/>
      <c r="F627" s="111"/>
    </row>
    <row r="628" spans="1:6" s="56" customFormat="1" x14ac:dyDescent="0.35">
      <c r="A628" s="111"/>
      <c r="B628" s="112"/>
      <c r="C628" s="111"/>
      <c r="F628" s="111"/>
    </row>
    <row r="629" spans="1:6" s="56" customFormat="1" x14ac:dyDescent="0.35">
      <c r="A629" s="111"/>
      <c r="B629" s="112"/>
      <c r="C629" s="111"/>
      <c r="F629" s="111"/>
    </row>
    <row r="630" spans="1:6" s="56" customFormat="1" x14ac:dyDescent="0.35">
      <c r="A630" s="111"/>
      <c r="B630" s="112"/>
      <c r="C630" s="111"/>
      <c r="F630" s="111"/>
    </row>
    <row r="631" spans="1:6" s="56" customFormat="1" x14ac:dyDescent="0.35">
      <c r="A631" s="111"/>
      <c r="B631" s="112"/>
      <c r="C631" s="111"/>
      <c r="F631" s="111"/>
    </row>
    <row r="632" spans="1:6" s="56" customFormat="1" x14ac:dyDescent="0.35">
      <c r="A632" s="111"/>
      <c r="B632" s="112"/>
      <c r="C632" s="111"/>
      <c r="F632" s="111"/>
    </row>
    <row r="633" spans="1:6" s="56" customFormat="1" x14ac:dyDescent="0.35">
      <c r="A633" s="111"/>
      <c r="B633" s="112"/>
      <c r="C633" s="111"/>
      <c r="F633" s="111"/>
    </row>
    <row r="634" spans="1:6" s="56" customFormat="1" x14ac:dyDescent="0.35">
      <c r="A634" s="111"/>
      <c r="B634" s="112"/>
      <c r="C634" s="111"/>
      <c r="F634" s="111"/>
    </row>
    <row r="635" spans="1:6" s="56" customFormat="1" x14ac:dyDescent="0.35">
      <c r="A635" s="111"/>
      <c r="B635" s="112"/>
      <c r="C635" s="111"/>
      <c r="F635" s="111"/>
    </row>
    <row r="636" spans="1:6" s="56" customFormat="1" x14ac:dyDescent="0.35">
      <c r="A636" s="111"/>
      <c r="B636" s="112"/>
      <c r="C636" s="111"/>
      <c r="F636" s="111"/>
    </row>
    <row r="637" spans="1:6" s="56" customFormat="1" x14ac:dyDescent="0.35">
      <c r="A637" s="111"/>
      <c r="B637" s="112"/>
      <c r="C637" s="111"/>
      <c r="F637" s="111"/>
    </row>
    <row r="638" spans="1:6" s="56" customFormat="1" x14ac:dyDescent="0.35">
      <c r="A638" s="111"/>
      <c r="B638" s="112"/>
      <c r="C638" s="111"/>
      <c r="F638" s="111"/>
    </row>
    <row r="639" spans="1:6" s="56" customFormat="1" x14ac:dyDescent="0.35">
      <c r="A639" s="111"/>
      <c r="B639" s="112"/>
      <c r="C639" s="111"/>
      <c r="F639" s="111"/>
    </row>
    <row r="640" spans="1:6" s="56" customFormat="1" x14ac:dyDescent="0.35">
      <c r="A640" s="111"/>
      <c r="B640" s="112"/>
      <c r="C640" s="111"/>
      <c r="F640" s="111"/>
    </row>
    <row r="641" spans="1:6" s="56" customFormat="1" x14ac:dyDescent="0.35">
      <c r="A641" s="111"/>
      <c r="B641" s="112"/>
      <c r="C641" s="111"/>
      <c r="F641" s="111"/>
    </row>
    <row r="642" spans="1:6" s="56" customFormat="1" x14ac:dyDescent="0.35">
      <c r="A642" s="111"/>
      <c r="B642" s="112"/>
      <c r="C642" s="111"/>
      <c r="F642" s="111"/>
    </row>
    <row r="643" spans="1:6" s="56" customFormat="1" x14ac:dyDescent="0.35">
      <c r="A643" s="111"/>
      <c r="B643" s="112"/>
      <c r="C643" s="111"/>
      <c r="F643" s="111"/>
    </row>
    <row r="644" spans="1:6" s="56" customFormat="1" x14ac:dyDescent="0.35">
      <c r="A644" s="111"/>
      <c r="B644" s="112"/>
      <c r="C644" s="111"/>
      <c r="F644" s="111"/>
    </row>
    <row r="645" spans="1:6" s="56" customFormat="1" x14ac:dyDescent="0.35">
      <c r="A645" s="111"/>
      <c r="B645" s="112"/>
      <c r="C645" s="111"/>
      <c r="F645" s="111"/>
    </row>
    <row r="646" spans="1:6" s="56" customFormat="1" x14ac:dyDescent="0.35">
      <c r="A646" s="111"/>
      <c r="B646" s="112"/>
      <c r="C646" s="111"/>
      <c r="F646" s="111"/>
    </row>
    <row r="647" spans="1:6" s="56" customFormat="1" x14ac:dyDescent="0.35">
      <c r="A647" s="111"/>
      <c r="B647" s="112"/>
      <c r="C647" s="111"/>
      <c r="F647" s="111"/>
    </row>
    <row r="648" spans="1:6" s="56" customFormat="1" x14ac:dyDescent="0.35">
      <c r="A648" s="111"/>
      <c r="B648" s="112"/>
      <c r="C648" s="111"/>
      <c r="F648" s="111"/>
    </row>
    <row r="649" spans="1:6" s="56" customFormat="1" x14ac:dyDescent="0.35">
      <c r="A649" s="111"/>
      <c r="B649" s="112"/>
      <c r="C649" s="111"/>
      <c r="F649" s="111"/>
    </row>
    <row r="650" spans="1:6" s="56" customFormat="1" x14ac:dyDescent="0.35">
      <c r="A650" s="111"/>
      <c r="B650" s="112"/>
      <c r="C650" s="111"/>
      <c r="F650" s="111"/>
    </row>
    <row r="651" spans="1:6" s="56" customFormat="1" x14ac:dyDescent="0.35">
      <c r="A651" s="111"/>
      <c r="B651" s="112"/>
      <c r="C651" s="111"/>
      <c r="F651" s="111"/>
    </row>
    <row r="652" spans="1:6" s="56" customFormat="1" x14ac:dyDescent="0.35">
      <c r="A652" s="111"/>
      <c r="B652" s="112"/>
      <c r="C652" s="111"/>
      <c r="F652" s="111"/>
    </row>
    <row r="653" spans="1:6" s="56" customFormat="1" x14ac:dyDescent="0.35">
      <c r="A653" s="111"/>
      <c r="B653" s="112"/>
      <c r="C653" s="111"/>
      <c r="F653" s="111"/>
    </row>
    <row r="654" spans="1:6" s="56" customFormat="1" x14ac:dyDescent="0.35">
      <c r="A654" s="111"/>
      <c r="B654" s="112"/>
      <c r="C654" s="111"/>
      <c r="F654" s="111"/>
    </row>
    <row r="655" spans="1:6" s="56" customFormat="1" x14ac:dyDescent="0.35">
      <c r="A655" s="111"/>
      <c r="B655" s="112"/>
      <c r="C655" s="111"/>
      <c r="F655" s="111"/>
    </row>
    <row r="656" spans="1:6" s="56" customFormat="1" x14ac:dyDescent="0.35">
      <c r="A656" s="111"/>
      <c r="B656" s="112"/>
      <c r="C656" s="111"/>
      <c r="F656" s="111"/>
    </row>
    <row r="657" spans="1:6" s="56" customFormat="1" x14ac:dyDescent="0.35">
      <c r="A657" s="111"/>
      <c r="B657" s="112"/>
      <c r="C657" s="111"/>
      <c r="F657" s="111"/>
    </row>
    <row r="658" spans="1:6" s="56" customFormat="1" x14ac:dyDescent="0.35">
      <c r="A658" s="111"/>
      <c r="B658" s="112"/>
      <c r="C658" s="111"/>
      <c r="F658" s="111"/>
    </row>
    <row r="659" spans="1:6" s="56" customFormat="1" x14ac:dyDescent="0.35">
      <c r="A659" s="111"/>
      <c r="B659" s="112"/>
      <c r="C659" s="111"/>
      <c r="F659" s="111"/>
    </row>
    <row r="660" spans="1:6" s="56" customFormat="1" x14ac:dyDescent="0.35">
      <c r="A660" s="111"/>
      <c r="B660" s="112"/>
      <c r="C660" s="111"/>
      <c r="F660" s="111"/>
    </row>
    <row r="661" spans="1:6" s="56" customFormat="1" x14ac:dyDescent="0.35">
      <c r="A661" s="111"/>
      <c r="B661" s="112"/>
      <c r="C661" s="111"/>
      <c r="F661" s="111"/>
    </row>
    <row r="662" spans="1:6" s="56" customFormat="1" x14ac:dyDescent="0.35">
      <c r="A662" s="111"/>
      <c r="B662" s="112"/>
      <c r="C662" s="111"/>
      <c r="F662" s="111"/>
    </row>
    <row r="663" spans="1:6" s="56" customFormat="1" x14ac:dyDescent="0.35">
      <c r="A663" s="111"/>
      <c r="B663" s="112"/>
      <c r="C663" s="111"/>
      <c r="F663" s="111"/>
    </row>
    <row r="664" spans="1:6" s="56" customFormat="1" x14ac:dyDescent="0.35">
      <c r="A664" s="111"/>
      <c r="B664" s="112"/>
      <c r="C664" s="111"/>
      <c r="F664" s="111"/>
    </row>
    <row r="665" spans="1:6" s="56" customFormat="1" x14ac:dyDescent="0.35">
      <c r="A665" s="111"/>
      <c r="B665" s="112"/>
      <c r="C665" s="111"/>
      <c r="F665" s="111"/>
    </row>
    <row r="666" spans="1:6" s="56" customFormat="1" x14ac:dyDescent="0.35">
      <c r="A666" s="111"/>
      <c r="B666" s="112"/>
      <c r="C666" s="111"/>
      <c r="F666" s="111"/>
    </row>
    <row r="667" spans="1:6" s="56" customFormat="1" x14ac:dyDescent="0.35">
      <c r="A667" s="111"/>
      <c r="B667" s="112"/>
      <c r="C667" s="111"/>
      <c r="F667" s="111"/>
    </row>
    <row r="668" spans="1:6" s="56" customFormat="1" x14ac:dyDescent="0.35">
      <c r="A668" s="111"/>
      <c r="B668" s="112"/>
      <c r="C668" s="111"/>
      <c r="F668" s="111"/>
    </row>
    <row r="669" spans="1:6" s="56" customFormat="1" x14ac:dyDescent="0.35">
      <c r="A669" s="111"/>
      <c r="B669" s="112"/>
      <c r="C669" s="111"/>
      <c r="F669" s="111"/>
    </row>
    <row r="670" spans="1:6" s="56" customFormat="1" x14ac:dyDescent="0.35">
      <c r="A670" s="111"/>
      <c r="B670" s="112"/>
      <c r="C670" s="111"/>
      <c r="F670" s="111"/>
    </row>
    <row r="671" spans="1:6" s="56" customFormat="1" x14ac:dyDescent="0.35">
      <c r="A671" s="111"/>
      <c r="B671" s="112"/>
      <c r="C671" s="111"/>
      <c r="F671" s="111"/>
    </row>
    <row r="672" spans="1:6" s="56" customFormat="1" x14ac:dyDescent="0.35">
      <c r="A672" s="111"/>
      <c r="B672" s="112"/>
      <c r="C672" s="111"/>
      <c r="F672" s="111"/>
    </row>
    <row r="673" spans="1:6" s="56" customFormat="1" x14ac:dyDescent="0.35">
      <c r="A673" s="111"/>
      <c r="B673" s="112"/>
      <c r="C673" s="111"/>
      <c r="F673" s="111"/>
    </row>
    <row r="674" spans="1:6" s="56" customFormat="1" x14ac:dyDescent="0.35">
      <c r="A674" s="111"/>
      <c r="B674" s="112"/>
      <c r="C674" s="111"/>
      <c r="F674" s="111"/>
    </row>
    <row r="675" spans="1:6" s="56" customFormat="1" x14ac:dyDescent="0.35">
      <c r="A675" s="111"/>
      <c r="B675" s="112"/>
      <c r="C675" s="111"/>
      <c r="F675" s="111"/>
    </row>
    <row r="676" spans="1:6" s="56" customFormat="1" x14ac:dyDescent="0.35">
      <c r="A676" s="111"/>
      <c r="B676" s="112"/>
      <c r="C676" s="111"/>
      <c r="F676" s="111"/>
    </row>
    <row r="677" spans="1:6" s="56" customFormat="1" x14ac:dyDescent="0.35">
      <c r="A677" s="111"/>
      <c r="B677" s="112"/>
      <c r="C677" s="111"/>
      <c r="F677" s="111"/>
    </row>
    <row r="678" spans="1:6" s="56" customFormat="1" x14ac:dyDescent="0.35">
      <c r="A678" s="111"/>
      <c r="B678" s="112"/>
      <c r="C678" s="111"/>
      <c r="F678" s="111"/>
    </row>
    <row r="679" spans="1:6" s="56" customFormat="1" x14ac:dyDescent="0.35">
      <c r="A679" s="111"/>
      <c r="B679" s="112"/>
      <c r="C679" s="111"/>
      <c r="F679" s="111"/>
    </row>
    <row r="680" spans="1:6" s="56" customFormat="1" x14ac:dyDescent="0.35">
      <c r="A680" s="111"/>
      <c r="B680" s="112"/>
      <c r="C680" s="111"/>
      <c r="F680" s="111"/>
    </row>
    <row r="681" spans="1:6" s="56" customFormat="1" x14ac:dyDescent="0.35">
      <c r="A681" s="111"/>
      <c r="B681" s="112"/>
      <c r="C681" s="111"/>
      <c r="F681" s="111"/>
    </row>
    <row r="682" spans="1:6" s="56" customFormat="1" x14ac:dyDescent="0.35">
      <c r="A682" s="111"/>
      <c r="B682" s="112"/>
      <c r="C682" s="111"/>
      <c r="F682" s="111"/>
    </row>
    <row r="683" spans="1:6" s="56" customFormat="1" x14ac:dyDescent="0.35">
      <c r="A683" s="111"/>
      <c r="B683" s="112"/>
      <c r="C683" s="111"/>
      <c r="F683" s="111"/>
    </row>
    <row r="684" spans="1:6" s="56" customFormat="1" x14ac:dyDescent="0.35">
      <c r="A684" s="111"/>
      <c r="B684" s="112"/>
      <c r="C684" s="111"/>
      <c r="F684" s="111"/>
    </row>
    <row r="685" spans="1:6" s="56" customFormat="1" x14ac:dyDescent="0.35">
      <c r="A685" s="111"/>
      <c r="B685" s="112"/>
      <c r="C685" s="111"/>
      <c r="F685" s="111"/>
    </row>
    <row r="686" spans="1:6" s="56" customFormat="1" x14ac:dyDescent="0.35">
      <c r="A686" s="111"/>
      <c r="B686" s="112"/>
      <c r="C686" s="111"/>
      <c r="F686" s="111"/>
    </row>
    <row r="687" spans="1:6" s="56" customFormat="1" x14ac:dyDescent="0.35">
      <c r="A687" s="111"/>
      <c r="B687" s="112"/>
      <c r="C687" s="111"/>
      <c r="F687" s="111"/>
    </row>
    <row r="688" spans="1:6" s="56" customFormat="1" x14ac:dyDescent="0.35">
      <c r="A688" s="111"/>
      <c r="B688" s="112"/>
      <c r="C688" s="111"/>
      <c r="F688" s="111"/>
    </row>
    <row r="689" spans="1:6" s="56" customFormat="1" x14ac:dyDescent="0.35">
      <c r="A689" s="111"/>
      <c r="B689" s="112"/>
      <c r="C689" s="111"/>
      <c r="F689" s="111"/>
    </row>
    <row r="690" spans="1:6" s="56" customFormat="1" x14ac:dyDescent="0.35">
      <c r="A690" s="111"/>
      <c r="B690" s="112"/>
      <c r="C690" s="111"/>
      <c r="F690" s="111"/>
    </row>
    <row r="691" spans="1:6" s="56" customFormat="1" x14ac:dyDescent="0.35">
      <c r="A691" s="111"/>
      <c r="B691" s="112"/>
      <c r="C691" s="111"/>
      <c r="F691" s="111"/>
    </row>
    <row r="692" spans="1:6" s="56" customFormat="1" x14ac:dyDescent="0.35">
      <c r="A692" s="111"/>
      <c r="B692" s="112"/>
      <c r="C692" s="111"/>
      <c r="F692" s="111"/>
    </row>
    <row r="693" spans="1:6" s="56" customFormat="1" x14ac:dyDescent="0.35">
      <c r="A693" s="111"/>
      <c r="B693" s="112"/>
      <c r="C693" s="111"/>
      <c r="F693" s="111"/>
    </row>
    <row r="694" spans="1:6" s="56" customFormat="1" x14ac:dyDescent="0.35">
      <c r="A694" s="111"/>
      <c r="B694" s="112"/>
      <c r="C694" s="111"/>
      <c r="F694" s="111"/>
    </row>
    <row r="695" spans="1:6" s="56" customFormat="1" x14ac:dyDescent="0.35">
      <c r="A695" s="111"/>
      <c r="B695" s="112"/>
      <c r="C695" s="111"/>
      <c r="F695" s="111"/>
    </row>
    <row r="696" spans="1:6" s="56" customFormat="1" x14ac:dyDescent="0.35">
      <c r="A696" s="111"/>
      <c r="B696" s="112"/>
      <c r="C696" s="111"/>
      <c r="F696" s="111"/>
    </row>
    <row r="697" spans="1:6" s="56" customFormat="1" x14ac:dyDescent="0.35">
      <c r="A697" s="111"/>
      <c r="B697" s="112"/>
      <c r="C697" s="111"/>
      <c r="F697" s="111"/>
    </row>
    <row r="698" spans="1:6" s="56" customFormat="1" x14ac:dyDescent="0.35">
      <c r="A698" s="111"/>
      <c r="B698" s="112"/>
      <c r="C698" s="111"/>
      <c r="F698" s="111"/>
    </row>
    <row r="699" spans="1:6" s="56" customFormat="1" x14ac:dyDescent="0.35">
      <c r="A699" s="111"/>
      <c r="B699" s="112"/>
      <c r="C699" s="111"/>
      <c r="F699" s="111"/>
    </row>
    <row r="700" spans="1:6" s="56" customFormat="1" x14ac:dyDescent="0.35">
      <c r="A700" s="111"/>
      <c r="B700" s="112"/>
      <c r="C700" s="111"/>
      <c r="F700" s="111"/>
    </row>
    <row r="701" spans="1:6" s="56" customFormat="1" x14ac:dyDescent="0.35">
      <c r="A701" s="111"/>
      <c r="B701" s="112"/>
      <c r="C701" s="111"/>
      <c r="F701" s="111"/>
    </row>
    <row r="702" spans="1:6" s="56" customFormat="1" x14ac:dyDescent="0.35">
      <c r="A702" s="111"/>
      <c r="B702" s="112"/>
      <c r="C702" s="111"/>
      <c r="F702" s="111"/>
    </row>
    <row r="703" spans="1:6" s="56" customFormat="1" x14ac:dyDescent="0.35">
      <c r="A703" s="111"/>
      <c r="B703" s="112"/>
      <c r="C703" s="111"/>
      <c r="F703" s="111"/>
    </row>
    <row r="704" spans="1:6" s="56" customFormat="1" x14ac:dyDescent="0.35">
      <c r="A704" s="111"/>
      <c r="B704" s="112"/>
      <c r="C704" s="111"/>
      <c r="F704" s="111"/>
    </row>
    <row r="705" spans="1:6" s="56" customFormat="1" x14ac:dyDescent="0.35">
      <c r="A705" s="111"/>
      <c r="B705" s="112"/>
      <c r="C705" s="111"/>
      <c r="F705" s="111"/>
    </row>
    <row r="706" spans="1:6" s="56" customFormat="1" x14ac:dyDescent="0.35">
      <c r="A706" s="111"/>
      <c r="B706" s="112"/>
      <c r="C706" s="111"/>
      <c r="F706" s="111"/>
    </row>
    <row r="707" spans="1:6" s="56" customFormat="1" x14ac:dyDescent="0.35">
      <c r="A707" s="111"/>
      <c r="B707" s="112"/>
      <c r="C707" s="111"/>
      <c r="F707" s="111"/>
    </row>
    <row r="708" spans="1:6" s="56" customFormat="1" x14ac:dyDescent="0.35">
      <c r="A708" s="111"/>
      <c r="B708" s="112"/>
      <c r="C708" s="111"/>
      <c r="F708" s="111"/>
    </row>
    <row r="709" spans="1:6" s="56" customFormat="1" x14ac:dyDescent="0.35">
      <c r="A709" s="111"/>
      <c r="B709" s="112"/>
      <c r="C709" s="111"/>
      <c r="F709" s="111"/>
    </row>
    <row r="710" spans="1:6" s="56" customFormat="1" x14ac:dyDescent="0.35">
      <c r="A710" s="111"/>
      <c r="B710" s="112"/>
      <c r="C710" s="111"/>
      <c r="F710" s="111"/>
    </row>
    <row r="711" spans="1:6" s="56" customFormat="1" x14ac:dyDescent="0.35">
      <c r="A711" s="111"/>
      <c r="B711" s="112"/>
      <c r="C711" s="111"/>
      <c r="F711" s="111"/>
    </row>
    <row r="712" spans="1:6" s="56" customFormat="1" x14ac:dyDescent="0.35">
      <c r="A712" s="111"/>
      <c r="B712" s="112"/>
      <c r="C712" s="111"/>
      <c r="F712" s="111"/>
    </row>
    <row r="713" spans="1:6" s="56" customFormat="1" x14ac:dyDescent="0.35">
      <c r="A713" s="111"/>
      <c r="B713" s="112"/>
      <c r="C713" s="111"/>
      <c r="F713" s="111"/>
    </row>
    <row r="714" spans="1:6" s="56" customFormat="1" x14ac:dyDescent="0.35">
      <c r="A714" s="111"/>
      <c r="B714" s="112"/>
      <c r="C714" s="111"/>
      <c r="F714" s="111"/>
    </row>
    <row r="715" spans="1:6" s="56" customFormat="1" x14ac:dyDescent="0.35">
      <c r="A715" s="111"/>
      <c r="B715" s="112"/>
      <c r="C715" s="111"/>
      <c r="F715" s="111"/>
    </row>
    <row r="716" spans="1:6" s="56" customFormat="1" x14ac:dyDescent="0.35">
      <c r="A716" s="111"/>
      <c r="B716" s="112"/>
      <c r="C716" s="111"/>
      <c r="F716" s="111"/>
    </row>
    <row r="717" spans="1:6" s="56" customFormat="1" x14ac:dyDescent="0.35">
      <c r="A717" s="111"/>
      <c r="B717" s="112"/>
      <c r="C717" s="111"/>
      <c r="F717" s="111"/>
    </row>
    <row r="718" spans="1:6" s="56" customFormat="1" x14ac:dyDescent="0.35">
      <c r="A718" s="111"/>
      <c r="B718" s="112"/>
      <c r="C718" s="111"/>
      <c r="F718" s="111"/>
    </row>
    <row r="719" spans="1:6" s="56" customFormat="1" x14ac:dyDescent="0.35">
      <c r="A719" s="111"/>
      <c r="B719" s="112"/>
      <c r="C719" s="111"/>
      <c r="F719" s="111"/>
    </row>
    <row r="720" spans="1:6" s="56" customFormat="1" x14ac:dyDescent="0.35">
      <c r="A720" s="111"/>
      <c r="B720" s="112"/>
      <c r="C720" s="111"/>
      <c r="F720" s="111"/>
    </row>
    <row r="721" spans="1:6" s="56" customFormat="1" x14ac:dyDescent="0.35">
      <c r="A721" s="111"/>
      <c r="B721" s="112"/>
      <c r="C721" s="111"/>
      <c r="F721" s="111"/>
    </row>
    <row r="722" spans="1:6" s="56" customFormat="1" x14ac:dyDescent="0.35">
      <c r="A722" s="111"/>
      <c r="B722" s="112"/>
      <c r="C722" s="111"/>
      <c r="F722" s="111"/>
    </row>
    <row r="723" spans="1:6" s="56" customFormat="1" x14ac:dyDescent="0.35">
      <c r="A723" s="111"/>
      <c r="B723" s="112"/>
      <c r="C723" s="111"/>
      <c r="F723" s="111"/>
    </row>
    <row r="724" spans="1:6" s="56" customFormat="1" x14ac:dyDescent="0.35">
      <c r="A724" s="111"/>
      <c r="B724" s="112"/>
      <c r="C724" s="111"/>
      <c r="F724" s="111"/>
    </row>
    <row r="725" spans="1:6" s="56" customFormat="1" x14ac:dyDescent="0.35">
      <c r="A725" s="111"/>
      <c r="B725" s="112"/>
      <c r="C725" s="111"/>
      <c r="F725" s="111"/>
    </row>
    <row r="726" spans="1:6" s="56" customFormat="1" x14ac:dyDescent="0.35">
      <c r="A726" s="111"/>
      <c r="B726" s="112"/>
      <c r="C726" s="111"/>
      <c r="F726" s="111"/>
    </row>
    <row r="727" spans="1:6" s="56" customFormat="1" x14ac:dyDescent="0.35">
      <c r="A727" s="111"/>
      <c r="B727" s="112"/>
      <c r="C727" s="111"/>
      <c r="F727" s="111"/>
    </row>
    <row r="728" spans="1:6" s="56" customFormat="1" x14ac:dyDescent="0.35">
      <c r="A728" s="111"/>
      <c r="B728" s="112"/>
      <c r="C728" s="111"/>
      <c r="F728" s="111"/>
    </row>
    <row r="729" spans="1:6" s="56" customFormat="1" x14ac:dyDescent="0.35">
      <c r="A729" s="111"/>
      <c r="B729" s="112"/>
      <c r="C729" s="111"/>
      <c r="F729" s="111"/>
    </row>
    <row r="730" spans="1:6" s="56" customFormat="1" x14ac:dyDescent="0.35">
      <c r="A730" s="111"/>
      <c r="B730" s="112"/>
      <c r="C730" s="111"/>
      <c r="F730" s="111"/>
    </row>
    <row r="731" spans="1:6" s="56" customFormat="1" x14ac:dyDescent="0.35">
      <c r="A731" s="111"/>
      <c r="B731" s="112"/>
      <c r="C731" s="111"/>
      <c r="F731" s="111"/>
    </row>
    <row r="732" spans="1:6" s="56" customFormat="1" x14ac:dyDescent="0.35">
      <c r="A732" s="111"/>
      <c r="B732" s="112"/>
      <c r="C732" s="111"/>
      <c r="F732" s="111"/>
    </row>
    <row r="733" spans="1:6" s="56" customFormat="1" x14ac:dyDescent="0.35">
      <c r="A733" s="111"/>
      <c r="B733" s="112"/>
      <c r="C733" s="111"/>
      <c r="F733" s="111"/>
    </row>
    <row r="734" spans="1:6" s="56" customFormat="1" x14ac:dyDescent="0.35">
      <c r="A734" s="111"/>
      <c r="B734" s="112"/>
      <c r="C734" s="111"/>
      <c r="F734" s="111"/>
    </row>
    <row r="735" spans="1:6" s="56" customFormat="1" x14ac:dyDescent="0.35">
      <c r="A735" s="111"/>
      <c r="B735" s="112"/>
      <c r="C735" s="111"/>
      <c r="F735" s="111"/>
    </row>
    <row r="736" spans="1:6" s="56" customFormat="1" x14ac:dyDescent="0.35">
      <c r="A736" s="111"/>
      <c r="B736" s="112"/>
      <c r="C736" s="111"/>
      <c r="F736" s="111"/>
    </row>
    <row r="737" spans="1:6" s="56" customFormat="1" x14ac:dyDescent="0.35">
      <c r="A737" s="111"/>
      <c r="B737" s="112"/>
      <c r="C737" s="111"/>
      <c r="F737" s="111"/>
    </row>
    <row r="738" spans="1:6" s="56" customFormat="1" x14ac:dyDescent="0.35">
      <c r="A738" s="111"/>
      <c r="B738" s="112"/>
      <c r="C738" s="111"/>
      <c r="F738" s="111"/>
    </row>
    <row r="739" spans="1:6" s="56" customFormat="1" x14ac:dyDescent="0.35">
      <c r="A739" s="111"/>
      <c r="B739" s="112"/>
      <c r="C739" s="111"/>
      <c r="F739" s="111"/>
    </row>
    <row r="740" spans="1:6" s="56" customFormat="1" x14ac:dyDescent="0.35">
      <c r="A740" s="111"/>
      <c r="B740" s="112"/>
      <c r="C740" s="111"/>
      <c r="F740" s="111"/>
    </row>
    <row r="741" spans="1:6" s="56" customFormat="1" x14ac:dyDescent="0.35">
      <c r="A741" s="111"/>
      <c r="B741" s="112"/>
      <c r="C741" s="111"/>
      <c r="F741" s="111"/>
    </row>
    <row r="742" spans="1:6" s="56" customFormat="1" x14ac:dyDescent="0.35">
      <c r="A742" s="111"/>
      <c r="B742" s="112"/>
      <c r="C742" s="111"/>
      <c r="F742" s="111"/>
    </row>
    <row r="743" spans="1:6" s="56" customFormat="1" x14ac:dyDescent="0.35">
      <c r="A743" s="111"/>
      <c r="B743" s="112"/>
      <c r="C743" s="111"/>
      <c r="F743" s="111"/>
    </row>
    <row r="744" spans="1:6" s="56" customFormat="1" x14ac:dyDescent="0.35">
      <c r="A744" s="111"/>
      <c r="B744" s="112"/>
      <c r="C744" s="111"/>
      <c r="F744" s="111"/>
    </row>
    <row r="745" spans="1:6" s="56" customFormat="1" x14ac:dyDescent="0.35">
      <c r="A745" s="111"/>
      <c r="B745" s="112"/>
      <c r="C745" s="111"/>
      <c r="F745" s="111"/>
    </row>
    <row r="746" spans="1:6" s="56" customFormat="1" x14ac:dyDescent="0.35">
      <c r="A746" s="111"/>
      <c r="B746" s="112"/>
      <c r="C746" s="111"/>
      <c r="F746" s="111"/>
    </row>
    <row r="747" spans="1:6" s="56" customFormat="1" x14ac:dyDescent="0.35">
      <c r="A747" s="111"/>
      <c r="B747" s="112"/>
      <c r="C747" s="111"/>
      <c r="F747" s="111"/>
    </row>
    <row r="748" spans="1:6" s="56" customFormat="1" x14ac:dyDescent="0.35">
      <c r="A748" s="111"/>
      <c r="B748" s="112"/>
      <c r="C748" s="111"/>
      <c r="F748" s="111"/>
    </row>
    <row r="749" spans="1:6" s="56" customFormat="1" x14ac:dyDescent="0.35">
      <c r="A749" s="111"/>
      <c r="B749" s="112"/>
      <c r="C749" s="111"/>
      <c r="F749" s="111"/>
    </row>
    <row r="750" spans="1:6" s="56" customFormat="1" x14ac:dyDescent="0.35">
      <c r="A750" s="111"/>
      <c r="B750" s="112"/>
      <c r="C750" s="111"/>
      <c r="F750" s="111"/>
    </row>
    <row r="751" spans="1:6" s="56" customFormat="1" x14ac:dyDescent="0.35">
      <c r="A751" s="111"/>
      <c r="B751" s="112"/>
      <c r="C751" s="111"/>
      <c r="F751" s="111"/>
    </row>
    <row r="752" spans="1:6" s="56" customFormat="1" x14ac:dyDescent="0.35">
      <c r="A752" s="111"/>
      <c r="B752" s="112"/>
      <c r="C752" s="111"/>
      <c r="F752" s="111"/>
    </row>
    <row r="753" spans="1:6" s="56" customFormat="1" x14ac:dyDescent="0.35">
      <c r="A753" s="111"/>
      <c r="B753" s="112"/>
      <c r="C753" s="111"/>
      <c r="F753" s="111"/>
    </row>
    <row r="754" spans="1:6" s="56" customFormat="1" x14ac:dyDescent="0.35">
      <c r="A754" s="111"/>
      <c r="B754" s="112"/>
      <c r="C754" s="111"/>
      <c r="F754" s="111"/>
    </row>
    <row r="755" spans="1:6" s="56" customFormat="1" x14ac:dyDescent="0.35">
      <c r="A755" s="111"/>
      <c r="B755" s="112"/>
      <c r="C755" s="111"/>
      <c r="F755" s="111"/>
    </row>
    <row r="756" spans="1:6" s="56" customFormat="1" x14ac:dyDescent="0.35">
      <c r="A756" s="111"/>
      <c r="B756" s="112"/>
      <c r="C756" s="111"/>
      <c r="F756" s="111"/>
    </row>
    <row r="757" spans="1:6" s="56" customFormat="1" x14ac:dyDescent="0.35">
      <c r="A757" s="111"/>
      <c r="B757" s="112"/>
      <c r="C757" s="111"/>
      <c r="F757" s="111"/>
    </row>
    <row r="758" spans="1:6" s="56" customFormat="1" x14ac:dyDescent="0.35">
      <c r="A758" s="111"/>
      <c r="B758" s="112"/>
      <c r="C758" s="111"/>
      <c r="F758" s="111"/>
    </row>
    <row r="759" spans="1:6" s="56" customFormat="1" x14ac:dyDescent="0.35">
      <c r="A759" s="111"/>
      <c r="B759" s="112"/>
      <c r="C759" s="111"/>
      <c r="F759" s="111"/>
    </row>
    <row r="760" spans="1:6" s="56" customFormat="1" x14ac:dyDescent="0.35">
      <c r="A760" s="111"/>
      <c r="B760" s="112"/>
      <c r="C760" s="111"/>
      <c r="F760" s="111"/>
    </row>
    <row r="761" spans="1:6" s="56" customFormat="1" x14ac:dyDescent="0.35">
      <c r="A761" s="111"/>
      <c r="B761" s="112"/>
      <c r="C761" s="111"/>
      <c r="F761" s="111"/>
    </row>
    <row r="762" spans="1:6" s="56" customFormat="1" x14ac:dyDescent="0.35">
      <c r="A762" s="111"/>
      <c r="B762" s="112"/>
      <c r="C762" s="111"/>
      <c r="F762" s="111"/>
    </row>
    <row r="763" spans="1:6" s="56" customFormat="1" x14ac:dyDescent="0.35">
      <c r="A763" s="111"/>
      <c r="B763" s="112"/>
      <c r="C763" s="111"/>
      <c r="F763" s="111"/>
    </row>
    <row r="764" spans="1:6" s="56" customFormat="1" x14ac:dyDescent="0.35">
      <c r="A764" s="111"/>
      <c r="B764" s="112"/>
      <c r="C764" s="111"/>
      <c r="F764" s="111"/>
    </row>
    <row r="765" spans="1:6" s="56" customFormat="1" x14ac:dyDescent="0.35">
      <c r="A765" s="111"/>
      <c r="B765" s="112"/>
      <c r="C765" s="111"/>
      <c r="F765" s="111"/>
    </row>
    <row r="766" spans="1:6" s="56" customFormat="1" x14ac:dyDescent="0.35">
      <c r="A766" s="111"/>
      <c r="B766" s="112"/>
      <c r="C766" s="111"/>
      <c r="F766" s="111"/>
    </row>
    <row r="767" spans="1:6" s="56" customFormat="1" x14ac:dyDescent="0.35">
      <c r="A767" s="111"/>
      <c r="B767" s="112"/>
      <c r="C767" s="111"/>
      <c r="F767" s="111"/>
    </row>
    <row r="768" spans="1:6" s="56" customFormat="1" x14ac:dyDescent="0.35">
      <c r="A768" s="111"/>
      <c r="B768" s="112"/>
      <c r="C768" s="111"/>
      <c r="F768" s="111"/>
    </row>
    <row r="769" spans="1:6" s="56" customFormat="1" x14ac:dyDescent="0.35">
      <c r="A769" s="111"/>
      <c r="B769" s="112"/>
      <c r="C769" s="111"/>
      <c r="F769" s="111"/>
    </row>
    <row r="770" spans="1:6" s="56" customFormat="1" x14ac:dyDescent="0.35">
      <c r="A770" s="111"/>
      <c r="B770" s="112"/>
      <c r="C770" s="111"/>
      <c r="F770" s="111"/>
    </row>
    <row r="771" spans="1:6" s="56" customFormat="1" x14ac:dyDescent="0.35">
      <c r="A771" s="111"/>
      <c r="B771" s="112"/>
      <c r="C771" s="111"/>
      <c r="F771" s="111"/>
    </row>
    <row r="772" spans="1:6" s="56" customFormat="1" x14ac:dyDescent="0.35">
      <c r="A772" s="111"/>
      <c r="B772" s="112"/>
      <c r="C772" s="111"/>
      <c r="F772" s="111"/>
    </row>
    <row r="773" spans="1:6" s="56" customFormat="1" x14ac:dyDescent="0.35">
      <c r="A773" s="111"/>
      <c r="B773" s="112"/>
      <c r="C773" s="111"/>
      <c r="F773" s="111"/>
    </row>
    <row r="774" spans="1:6" s="56" customFormat="1" x14ac:dyDescent="0.35">
      <c r="A774" s="111"/>
      <c r="B774" s="112"/>
      <c r="C774" s="111"/>
      <c r="F774" s="111"/>
    </row>
    <row r="775" spans="1:6" s="56" customFormat="1" x14ac:dyDescent="0.35">
      <c r="A775" s="111"/>
      <c r="B775" s="112"/>
      <c r="C775" s="111"/>
      <c r="F775" s="111"/>
    </row>
    <row r="776" spans="1:6" s="56" customFormat="1" x14ac:dyDescent="0.35">
      <c r="A776" s="111"/>
      <c r="B776" s="112"/>
      <c r="C776" s="111"/>
      <c r="F776" s="111"/>
    </row>
    <row r="777" spans="1:6" s="56" customFormat="1" x14ac:dyDescent="0.35">
      <c r="A777" s="111"/>
      <c r="B777" s="112"/>
      <c r="C777" s="111"/>
      <c r="F777" s="111"/>
    </row>
    <row r="778" spans="1:6" s="56" customFormat="1" x14ac:dyDescent="0.35">
      <c r="A778" s="111"/>
      <c r="B778" s="112"/>
      <c r="C778" s="111"/>
      <c r="F778" s="111"/>
    </row>
    <row r="779" spans="1:6" s="56" customFormat="1" x14ac:dyDescent="0.35">
      <c r="A779" s="111"/>
      <c r="B779" s="112"/>
      <c r="C779" s="111"/>
      <c r="F779" s="111"/>
    </row>
    <row r="780" spans="1:6" s="56" customFormat="1" x14ac:dyDescent="0.35">
      <c r="A780" s="111"/>
      <c r="B780" s="112"/>
      <c r="C780" s="111"/>
      <c r="F780" s="111"/>
    </row>
    <row r="781" spans="1:6" s="56" customFormat="1" x14ac:dyDescent="0.35">
      <c r="A781" s="111"/>
      <c r="B781" s="112"/>
      <c r="C781" s="111"/>
      <c r="F781" s="111"/>
    </row>
    <row r="782" spans="1:6" s="56" customFormat="1" x14ac:dyDescent="0.35">
      <c r="A782" s="111"/>
      <c r="B782" s="112"/>
      <c r="C782" s="111"/>
      <c r="F782" s="111"/>
    </row>
    <row r="783" spans="1:6" s="56" customFormat="1" x14ac:dyDescent="0.35">
      <c r="A783" s="111"/>
      <c r="B783" s="112"/>
      <c r="C783" s="111"/>
      <c r="F783" s="111"/>
    </row>
    <row r="784" spans="1:6" s="56" customFormat="1" x14ac:dyDescent="0.35">
      <c r="A784" s="111"/>
      <c r="B784" s="112"/>
      <c r="C784" s="111"/>
      <c r="F784" s="111"/>
    </row>
    <row r="785" spans="1:6" s="56" customFormat="1" x14ac:dyDescent="0.35">
      <c r="A785" s="111"/>
      <c r="B785" s="112"/>
      <c r="C785" s="111"/>
      <c r="F785" s="111"/>
    </row>
    <row r="786" spans="1:6" s="56" customFormat="1" x14ac:dyDescent="0.35">
      <c r="A786" s="111"/>
      <c r="B786" s="112"/>
      <c r="C786" s="111"/>
      <c r="F786" s="111"/>
    </row>
    <row r="787" spans="1:6" s="56" customFormat="1" x14ac:dyDescent="0.35">
      <c r="A787" s="111"/>
      <c r="B787" s="112"/>
      <c r="C787" s="111"/>
      <c r="F787" s="111"/>
    </row>
    <row r="788" spans="1:6" s="56" customFormat="1" x14ac:dyDescent="0.35">
      <c r="A788" s="111"/>
      <c r="B788" s="112"/>
      <c r="C788" s="111"/>
      <c r="F788" s="111"/>
    </row>
    <row r="789" spans="1:6" s="56" customFormat="1" x14ac:dyDescent="0.35">
      <c r="A789" s="111"/>
      <c r="B789" s="112"/>
      <c r="C789" s="111"/>
      <c r="F789" s="111"/>
    </row>
    <row r="790" spans="1:6" s="56" customFormat="1" x14ac:dyDescent="0.35">
      <c r="A790" s="111"/>
      <c r="B790" s="112"/>
      <c r="C790" s="111"/>
      <c r="F790" s="111"/>
    </row>
    <row r="791" spans="1:6" s="56" customFormat="1" x14ac:dyDescent="0.35">
      <c r="A791" s="111"/>
      <c r="B791" s="112"/>
      <c r="C791" s="111"/>
      <c r="F791" s="111"/>
    </row>
    <row r="792" spans="1:6" s="56" customFormat="1" x14ac:dyDescent="0.35">
      <c r="A792" s="111"/>
      <c r="B792" s="112"/>
      <c r="C792" s="111"/>
      <c r="F792" s="111"/>
    </row>
    <row r="793" spans="1:6" s="56" customFormat="1" x14ac:dyDescent="0.35">
      <c r="A793" s="111"/>
      <c r="B793" s="112"/>
      <c r="C793" s="111"/>
      <c r="F793" s="111"/>
    </row>
    <row r="794" spans="1:6" s="56" customFormat="1" x14ac:dyDescent="0.35">
      <c r="A794" s="111"/>
      <c r="B794" s="112"/>
      <c r="C794" s="111"/>
      <c r="F794" s="111"/>
    </row>
    <row r="795" spans="1:6" s="56" customFormat="1" x14ac:dyDescent="0.35">
      <c r="A795" s="111"/>
      <c r="B795" s="112"/>
      <c r="C795" s="111"/>
      <c r="F795" s="111"/>
    </row>
    <row r="796" spans="1:6" s="56" customFormat="1" x14ac:dyDescent="0.35">
      <c r="A796" s="111"/>
      <c r="B796" s="112"/>
      <c r="C796" s="111"/>
      <c r="F796" s="111"/>
    </row>
    <row r="797" spans="1:6" s="56" customFormat="1" x14ac:dyDescent="0.35">
      <c r="A797" s="111"/>
      <c r="B797" s="112"/>
      <c r="C797" s="111"/>
      <c r="F797" s="111"/>
    </row>
    <row r="798" spans="1:6" s="56" customFormat="1" x14ac:dyDescent="0.35">
      <c r="A798" s="111"/>
      <c r="B798" s="112"/>
      <c r="C798" s="111"/>
      <c r="F798" s="111"/>
    </row>
    <row r="799" spans="1:6" s="56" customFormat="1" x14ac:dyDescent="0.35">
      <c r="A799" s="111"/>
      <c r="B799" s="112"/>
      <c r="C799" s="111"/>
      <c r="F799" s="111"/>
    </row>
    <row r="800" spans="1:6" s="56" customFormat="1" x14ac:dyDescent="0.35">
      <c r="A800" s="111"/>
      <c r="B800" s="112"/>
      <c r="C800" s="111"/>
      <c r="F800" s="111"/>
    </row>
    <row r="801" spans="1:6" s="56" customFormat="1" x14ac:dyDescent="0.35">
      <c r="A801" s="111"/>
      <c r="B801" s="112"/>
      <c r="C801" s="111"/>
      <c r="F801" s="111"/>
    </row>
    <row r="802" spans="1:6" s="56" customFormat="1" x14ac:dyDescent="0.35">
      <c r="A802" s="111"/>
      <c r="B802" s="112"/>
      <c r="C802" s="111"/>
      <c r="F802" s="111"/>
    </row>
    <row r="803" spans="1:6" s="56" customFormat="1" x14ac:dyDescent="0.35">
      <c r="A803" s="111"/>
      <c r="B803" s="112"/>
      <c r="C803" s="111"/>
      <c r="F803" s="111"/>
    </row>
    <row r="804" spans="1:6" s="56" customFormat="1" x14ac:dyDescent="0.35">
      <c r="A804" s="111"/>
      <c r="B804" s="112"/>
      <c r="C804" s="111"/>
      <c r="F804" s="111"/>
    </row>
    <row r="805" spans="1:6" s="56" customFormat="1" x14ac:dyDescent="0.35">
      <c r="A805" s="111"/>
      <c r="B805" s="112"/>
      <c r="C805" s="111"/>
      <c r="F805" s="111"/>
    </row>
    <row r="806" spans="1:6" s="56" customFormat="1" x14ac:dyDescent="0.35">
      <c r="A806" s="111"/>
      <c r="B806" s="112"/>
      <c r="C806" s="111"/>
      <c r="F806" s="111"/>
    </row>
    <row r="807" spans="1:6" s="56" customFormat="1" x14ac:dyDescent="0.35">
      <c r="A807" s="111"/>
      <c r="B807" s="112"/>
      <c r="C807" s="111"/>
      <c r="F807" s="111"/>
    </row>
    <row r="808" spans="1:6" s="56" customFormat="1" x14ac:dyDescent="0.35">
      <c r="A808" s="111"/>
      <c r="B808" s="112"/>
      <c r="C808" s="111"/>
      <c r="F808" s="111"/>
    </row>
    <row r="809" spans="1:6" s="56" customFormat="1" x14ac:dyDescent="0.35">
      <c r="A809" s="111"/>
      <c r="B809" s="112"/>
      <c r="C809" s="111"/>
      <c r="F809" s="111"/>
    </row>
    <row r="810" spans="1:6" s="56" customFormat="1" x14ac:dyDescent="0.35">
      <c r="A810" s="111"/>
      <c r="B810" s="112"/>
      <c r="C810" s="111"/>
      <c r="F810" s="111"/>
    </row>
    <row r="811" spans="1:6" s="56" customFormat="1" x14ac:dyDescent="0.35">
      <c r="A811" s="111"/>
      <c r="B811" s="112"/>
      <c r="C811" s="111"/>
      <c r="F811" s="111"/>
    </row>
    <row r="812" spans="1:6" s="56" customFormat="1" x14ac:dyDescent="0.35">
      <c r="A812" s="111"/>
      <c r="B812" s="112"/>
      <c r="C812" s="111"/>
      <c r="F812" s="111"/>
    </row>
    <row r="813" spans="1:6" s="56" customFormat="1" x14ac:dyDescent="0.35">
      <c r="A813" s="111"/>
      <c r="B813" s="112"/>
      <c r="C813" s="111"/>
      <c r="F813" s="111"/>
    </row>
    <row r="814" spans="1:6" s="56" customFormat="1" x14ac:dyDescent="0.35">
      <c r="A814" s="111"/>
      <c r="B814" s="112"/>
      <c r="C814" s="111"/>
      <c r="F814" s="111"/>
    </row>
    <row r="815" spans="1:6" s="56" customFormat="1" x14ac:dyDescent="0.35">
      <c r="A815" s="111"/>
      <c r="B815" s="112"/>
      <c r="C815" s="111"/>
      <c r="F815" s="111"/>
    </row>
    <row r="816" spans="1:6" s="56" customFormat="1" x14ac:dyDescent="0.35">
      <c r="A816" s="111"/>
      <c r="B816" s="112"/>
      <c r="C816" s="111"/>
      <c r="F816" s="111"/>
    </row>
    <row r="817" spans="1:6" s="56" customFormat="1" x14ac:dyDescent="0.35">
      <c r="A817" s="111"/>
      <c r="B817" s="112"/>
      <c r="C817" s="111"/>
      <c r="F817" s="111"/>
    </row>
    <row r="818" spans="1:6" s="56" customFormat="1" x14ac:dyDescent="0.35">
      <c r="A818" s="111"/>
      <c r="B818" s="112"/>
      <c r="C818" s="111"/>
      <c r="F818" s="111"/>
    </row>
    <row r="819" spans="1:6" s="56" customFormat="1" x14ac:dyDescent="0.35">
      <c r="A819" s="111"/>
      <c r="B819" s="112"/>
      <c r="C819" s="111"/>
      <c r="F819" s="111"/>
    </row>
    <row r="820" spans="1:6" s="56" customFormat="1" x14ac:dyDescent="0.35">
      <c r="A820" s="111"/>
      <c r="B820" s="112"/>
      <c r="C820" s="111"/>
      <c r="F820" s="111"/>
    </row>
    <row r="821" spans="1:6" s="56" customFormat="1" x14ac:dyDescent="0.35">
      <c r="A821" s="111"/>
      <c r="B821" s="112"/>
      <c r="C821" s="111"/>
      <c r="F821" s="111"/>
    </row>
    <row r="822" spans="1:6" s="56" customFormat="1" x14ac:dyDescent="0.35">
      <c r="A822" s="111"/>
      <c r="B822" s="112"/>
      <c r="C822" s="111"/>
      <c r="F822" s="111"/>
    </row>
    <row r="823" spans="1:6" s="56" customFormat="1" x14ac:dyDescent="0.35">
      <c r="A823" s="111"/>
      <c r="B823" s="112"/>
      <c r="C823" s="111"/>
      <c r="F823" s="111"/>
    </row>
    <row r="824" spans="1:6" s="56" customFormat="1" x14ac:dyDescent="0.35">
      <c r="A824" s="111"/>
      <c r="B824" s="112"/>
      <c r="C824" s="111"/>
      <c r="F824" s="111"/>
    </row>
    <row r="825" spans="1:6" s="56" customFormat="1" x14ac:dyDescent="0.35">
      <c r="A825" s="111"/>
      <c r="B825" s="112"/>
      <c r="C825" s="111"/>
      <c r="F825" s="111"/>
    </row>
    <row r="826" spans="1:6" s="56" customFormat="1" x14ac:dyDescent="0.35">
      <c r="A826" s="111"/>
      <c r="B826" s="112"/>
      <c r="C826" s="111"/>
      <c r="F826" s="111"/>
    </row>
    <row r="827" spans="1:6" s="56" customFormat="1" x14ac:dyDescent="0.35">
      <c r="A827" s="111"/>
      <c r="B827" s="112"/>
      <c r="C827" s="111"/>
      <c r="F827" s="111"/>
    </row>
    <row r="828" spans="1:6" s="56" customFormat="1" x14ac:dyDescent="0.35">
      <c r="A828" s="111"/>
      <c r="B828" s="112"/>
      <c r="C828" s="111"/>
      <c r="F828" s="111"/>
    </row>
    <row r="829" spans="1:6" s="56" customFormat="1" x14ac:dyDescent="0.35">
      <c r="A829" s="111"/>
      <c r="B829" s="112"/>
      <c r="C829" s="111"/>
      <c r="F829" s="111"/>
    </row>
    <row r="830" spans="1:6" s="56" customFormat="1" x14ac:dyDescent="0.35">
      <c r="A830" s="111"/>
      <c r="B830" s="112"/>
      <c r="C830" s="111"/>
      <c r="F830" s="111"/>
    </row>
    <row r="831" spans="1:6" s="56" customFormat="1" x14ac:dyDescent="0.35">
      <c r="A831" s="111"/>
      <c r="B831" s="112"/>
      <c r="C831" s="111"/>
      <c r="F831" s="111"/>
    </row>
    <row r="832" spans="1:6" s="56" customFormat="1" x14ac:dyDescent="0.35">
      <c r="A832" s="111"/>
      <c r="B832" s="112"/>
      <c r="C832" s="111"/>
      <c r="F832" s="111"/>
    </row>
    <row r="833" spans="1:6" s="56" customFormat="1" x14ac:dyDescent="0.35">
      <c r="A833" s="111"/>
      <c r="B833" s="112"/>
      <c r="C833" s="111"/>
      <c r="F833" s="111"/>
    </row>
    <row r="834" spans="1:6" s="56" customFormat="1" x14ac:dyDescent="0.35">
      <c r="A834" s="111"/>
      <c r="B834" s="112"/>
      <c r="C834" s="111"/>
      <c r="F834" s="111"/>
    </row>
    <row r="835" spans="1:6" s="56" customFormat="1" x14ac:dyDescent="0.35">
      <c r="A835" s="111"/>
      <c r="B835" s="112"/>
      <c r="C835" s="111"/>
      <c r="F835" s="111"/>
    </row>
    <row r="836" spans="1:6" s="56" customFormat="1" x14ac:dyDescent="0.35">
      <c r="A836" s="111"/>
      <c r="B836" s="112"/>
      <c r="C836" s="111"/>
      <c r="F836" s="111"/>
    </row>
    <row r="837" spans="1:6" s="56" customFormat="1" x14ac:dyDescent="0.35">
      <c r="A837" s="111"/>
      <c r="B837" s="112"/>
      <c r="C837" s="111"/>
      <c r="F837" s="111"/>
    </row>
    <row r="838" spans="1:6" s="56" customFormat="1" x14ac:dyDescent="0.35">
      <c r="A838" s="111"/>
      <c r="B838" s="112"/>
      <c r="C838" s="111"/>
      <c r="F838" s="111"/>
    </row>
    <row r="839" spans="1:6" s="56" customFormat="1" x14ac:dyDescent="0.35">
      <c r="A839" s="111"/>
      <c r="B839" s="112"/>
      <c r="C839" s="111"/>
      <c r="F839" s="111"/>
    </row>
    <row r="840" spans="1:6" s="56" customFormat="1" x14ac:dyDescent="0.35">
      <c r="A840" s="111"/>
      <c r="B840" s="112"/>
      <c r="C840" s="111"/>
      <c r="F840" s="111"/>
    </row>
    <row r="841" spans="1:6" s="56" customFormat="1" x14ac:dyDescent="0.35">
      <c r="A841" s="111"/>
      <c r="B841" s="112"/>
      <c r="C841" s="111"/>
      <c r="F841" s="111"/>
    </row>
    <row r="842" spans="1:6" s="56" customFormat="1" x14ac:dyDescent="0.35">
      <c r="A842" s="111"/>
      <c r="B842" s="112"/>
      <c r="C842" s="111"/>
      <c r="F842" s="111"/>
    </row>
    <row r="843" spans="1:6" s="56" customFormat="1" x14ac:dyDescent="0.35">
      <c r="A843" s="111"/>
      <c r="B843" s="112"/>
      <c r="C843" s="111"/>
      <c r="F843" s="111"/>
    </row>
    <row r="844" spans="1:6" s="56" customFormat="1" x14ac:dyDescent="0.35">
      <c r="A844" s="111"/>
      <c r="B844" s="112"/>
      <c r="C844" s="111"/>
      <c r="F844" s="111"/>
    </row>
    <row r="845" spans="1:6" s="56" customFormat="1" x14ac:dyDescent="0.35">
      <c r="A845" s="111"/>
      <c r="B845" s="112"/>
      <c r="C845" s="111"/>
      <c r="F845" s="111"/>
    </row>
    <row r="846" spans="1:6" s="56" customFormat="1" x14ac:dyDescent="0.35">
      <c r="A846" s="111"/>
      <c r="B846" s="112"/>
      <c r="C846" s="111"/>
      <c r="F846" s="111"/>
    </row>
    <row r="847" spans="1:6" s="56" customFormat="1" x14ac:dyDescent="0.35">
      <c r="A847" s="111"/>
      <c r="B847" s="112"/>
      <c r="C847" s="111"/>
      <c r="F847" s="111"/>
    </row>
    <row r="848" spans="1:6" s="56" customFormat="1" x14ac:dyDescent="0.35">
      <c r="A848" s="111"/>
      <c r="B848" s="112"/>
      <c r="C848" s="111"/>
      <c r="F848" s="111"/>
    </row>
    <row r="849" spans="1:6" s="56" customFormat="1" x14ac:dyDescent="0.35">
      <c r="A849" s="111"/>
      <c r="B849" s="112"/>
      <c r="C849" s="111"/>
      <c r="F849" s="111"/>
    </row>
    <row r="850" spans="1:6" s="56" customFormat="1" x14ac:dyDescent="0.35">
      <c r="A850" s="111"/>
      <c r="B850" s="112"/>
      <c r="C850" s="111"/>
      <c r="F850" s="111"/>
    </row>
    <row r="851" spans="1:6" s="56" customFormat="1" x14ac:dyDescent="0.35">
      <c r="A851" s="111"/>
      <c r="B851" s="112"/>
      <c r="C851" s="111"/>
      <c r="F851" s="111"/>
    </row>
    <row r="852" spans="1:6" s="56" customFormat="1" x14ac:dyDescent="0.35">
      <c r="A852" s="111"/>
      <c r="B852" s="112"/>
      <c r="C852" s="111"/>
      <c r="F852" s="111"/>
    </row>
    <row r="853" spans="1:6" s="56" customFormat="1" x14ac:dyDescent="0.35">
      <c r="A853" s="111"/>
      <c r="B853" s="112"/>
      <c r="C853" s="111"/>
      <c r="F853" s="111"/>
    </row>
    <row r="854" spans="1:6" s="56" customFormat="1" x14ac:dyDescent="0.35">
      <c r="A854" s="111"/>
      <c r="B854" s="112"/>
      <c r="C854" s="111"/>
      <c r="F854" s="111"/>
    </row>
    <row r="855" spans="1:6" s="56" customFormat="1" x14ac:dyDescent="0.35">
      <c r="A855" s="111"/>
      <c r="B855" s="112"/>
      <c r="C855" s="111"/>
      <c r="F855" s="111"/>
    </row>
    <row r="856" spans="1:6" s="56" customFormat="1" x14ac:dyDescent="0.35">
      <c r="A856" s="111"/>
      <c r="B856" s="112"/>
      <c r="C856" s="111"/>
      <c r="F856" s="111"/>
    </row>
    <row r="857" spans="1:6" s="56" customFormat="1" x14ac:dyDescent="0.35">
      <c r="A857" s="111"/>
      <c r="B857" s="112"/>
      <c r="C857" s="111"/>
      <c r="F857" s="111"/>
    </row>
    <row r="858" spans="1:6" s="56" customFormat="1" x14ac:dyDescent="0.35">
      <c r="A858" s="111"/>
      <c r="B858" s="112"/>
      <c r="C858" s="111"/>
      <c r="F858" s="111"/>
    </row>
    <row r="859" spans="1:6" s="56" customFormat="1" x14ac:dyDescent="0.35">
      <c r="A859" s="111"/>
      <c r="B859" s="112"/>
      <c r="C859" s="111"/>
      <c r="F859" s="111"/>
    </row>
    <row r="860" spans="1:6" s="56" customFormat="1" x14ac:dyDescent="0.35">
      <c r="A860" s="111"/>
      <c r="B860" s="112"/>
      <c r="C860" s="111"/>
      <c r="F860" s="111"/>
    </row>
    <row r="861" spans="1:6" s="56" customFormat="1" x14ac:dyDescent="0.35">
      <c r="A861" s="111"/>
      <c r="B861" s="112"/>
      <c r="C861" s="111"/>
      <c r="F861" s="111"/>
    </row>
    <row r="862" spans="1:6" s="56" customFormat="1" x14ac:dyDescent="0.35">
      <c r="A862" s="111"/>
      <c r="B862" s="112"/>
      <c r="C862" s="111"/>
      <c r="F862" s="111"/>
    </row>
    <row r="863" spans="1:6" s="56" customFormat="1" x14ac:dyDescent="0.35">
      <c r="A863" s="111"/>
      <c r="B863" s="112"/>
      <c r="C863" s="111"/>
      <c r="F863" s="111"/>
    </row>
    <row r="864" spans="1:6" s="56" customFormat="1" x14ac:dyDescent="0.35">
      <c r="A864" s="111"/>
      <c r="B864" s="112"/>
      <c r="C864" s="111"/>
      <c r="F864" s="111"/>
    </row>
    <row r="865" spans="1:6" s="56" customFormat="1" x14ac:dyDescent="0.35">
      <c r="A865" s="111"/>
      <c r="B865" s="112"/>
      <c r="C865" s="111"/>
      <c r="F865" s="111"/>
    </row>
    <row r="866" spans="1:6" s="56" customFormat="1" x14ac:dyDescent="0.35">
      <c r="A866" s="111"/>
      <c r="B866" s="112"/>
      <c r="C866" s="111"/>
      <c r="F866" s="111"/>
    </row>
    <row r="867" spans="1:6" s="56" customFormat="1" x14ac:dyDescent="0.35">
      <c r="A867" s="111"/>
      <c r="B867" s="112"/>
      <c r="C867" s="111"/>
      <c r="F867" s="111"/>
    </row>
    <row r="868" spans="1:6" s="56" customFormat="1" x14ac:dyDescent="0.35">
      <c r="A868" s="111"/>
      <c r="B868" s="112"/>
      <c r="C868" s="111"/>
      <c r="F868" s="111"/>
    </row>
    <row r="869" spans="1:6" s="56" customFormat="1" x14ac:dyDescent="0.35">
      <c r="A869" s="111"/>
      <c r="B869" s="112"/>
      <c r="C869" s="111"/>
      <c r="F869" s="111"/>
    </row>
    <row r="870" spans="1:6" s="56" customFormat="1" x14ac:dyDescent="0.35">
      <c r="A870" s="111"/>
      <c r="B870" s="112"/>
      <c r="C870" s="111"/>
      <c r="F870" s="111"/>
    </row>
    <row r="871" spans="1:6" s="56" customFormat="1" x14ac:dyDescent="0.35">
      <c r="A871" s="111"/>
      <c r="B871" s="112"/>
      <c r="C871" s="111"/>
      <c r="F871" s="111"/>
    </row>
    <row r="872" spans="1:6" s="56" customFormat="1" x14ac:dyDescent="0.35">
      <c r="A872" s="111"/>
      <c r="B872" s="112"/>
      <c r="C872" s="111"/>
      <c r="F872" s="111"/>
    </row>
    <row r="873" spans="1:6" s="56" customFormat="1" x14ac:dyDescent="0.35">
      <c r="A873" s="111"/>
      <c r="B873" s="112"/>
      <c r="C873" s="111"/>
      <c r="F873" s="111"/>
    </row>
    <row r="874" spans="1:6" s="56" customFormat="1" x14ac:dyDescent="0.35">
      <c r="A874" s="111"/>
      <c r="B874" s="112"/>
      <c r="C874" s="111"/>
      <c r="F874" s="111"/>
    </row>
    <row r="875" spans="1:6" s="56" customFormat="1" x14ac:dyDescent="0.35">
      <c r="A875" s="111"/>
      <c r="B875" s="112"/>
      <c r="C875" s="111"/>
      <c r="F875" s="111"/>
    </row>
    <row r="876" spans="1:6" s="56" customFormat="1" x14ac:dyDescent="0.35">
      <c r="A876" s="111"/>
      <c r="B876" s="112"/>
      <c r="C876" s="111"/>
      <c r="F876" s="111"/>
    </row>
    <row r="877" spans="1:6" s="56" customFormat="1" x14ac:dyDescent="0.35">
      <c r="A877" s="111"/>
      <c r="B877" s="112"/>
      <c r="C877" s="111"/>
      <c r="F877" s="111"/>
    </row>
    <row r="878" spans="1:6" s="56" customFormat="1" x14ac:dyDescent="0.35">
      <c r="A878" s="111"/>
      <c r="B878" s="112"/>
      <c r="C878" s="111"/>
      <c r="F878" s="111"/>
    </row>
    <row r="879" spans="1:6" s="56" customFormat="1" x14ac:dyDescent="0.35">
      <c r="A879" s="111"/>
      <c r="B879" s="112"/>
      <c r="C879" s="111"/>
      <c r="F879" s="111"/>
    </row>
    <row r="880" spans="1:6" s="56" customFormat="1" x14ac:dyDescent="0.35">
      <c r="A880" s="111"/>
      <c r="B880" s="112"/>
      <c r="C880" s="111"/>
      <c r="F880" s="111"/>
    </row>
    <row r="881" spans="1:6" s="56" customFormat="1" x14ac:dyDescent="0.35">
      <c r="A881" s="111"/>
      <c r="B881" s="112"/>
      <c r="C881" s="111"/>
      <c r="F881" s="111"/>
    </row>
    <row r="882" spans="1:6" s="56" customFormat="1" x14ac:dyDescent="0.35">
      <c r="A882" s="111"/>
      <c r="B882" s="112"/>
      <c r="C882" s="111"/>
      <c r="F882" s="111"/>
    </row>
    <row r="883" spans="1:6" s="56" customFormat="1" x14ac:dyDescent="0.35">
      <c r="A883" s="111"/>
      <c r="B883" s="112"/>
      <c r="C883" s="111"/>
      <c r="F883" s="111"/>
    </row>
    <row r="884" spans="1:6" s="56" customFormat="1" x14ac:dyDescent="0.35">
      <c r="A884" s="111"/>
      <c r="B884" s="112"/>
      <c r="C884" s="111"/>
      <c r="F884" s="111"/>
    </row>
    <row r="885" spans="1:6" s="56" customFormat="1" x14ac:dyDescent="0.35">
      <c r="A885" s="111"/>
      <c r="B885" s="112"/>
      <c r="C885" s="111"/>
      <c r="F885" s="111"/>
    </row>
    <row r="886" spans="1:6" s="56" customFormat="1" x14ac:dyDescent="0.35">
      <c r="A886" s="111"/>
      <c r="B886" s="112"/>
      <c r="C886" s="111"/>
      <c r="F886" s="111"/>
    </row>
    <row r="887" spans="1:6" s="56" customFormat="1" x14ac:dyDescent="0.35">
      <c r="A887" s="111"/>
      <c r="B887" s="112"/>
      <c r="C887" s="111"/>
      <c r="F887" s="111"/>
    </row>
    <row r="888" spans="1:6" s="56" customFormat="1" x14ac:dyDescent="0.35">
      <c r="A888" s="111"/>
      <c r="B888" s="112"/>
      <c r="C888" s="111"/>
      <c r="F888" s="111"/>
    </row>
    <row r="889" spans="1:6" s="56" customFormat="1" x14ac:dyDescent="0.35">
      <c r="A889" s="111"/>
      <c r="B889" s="112"/>
      <c r="C889" s="111"/>
      <c r="F889" s="111"/>
    </row>
    <row r="890" spans="1:6" s="56" customFormat="1" x14ac:dyDescent="0.35">
      <c r="A890" s="111"/>
      <c r="B890" s="112"/>
      <c r="C890" s="111"/>
      <c r="F890" s="111"/>
    </row>
    <row r="891" spans="1:6" s="56" customFormat="1" x14ac:dyDescent="0.35">
      <c r="A891" s="111"/>
      <c r="B891" s="112"/>
      <c r="C891" s="111"/>
      <c r="F891" s="111"/>
    </row>
    <row r="892" spans="1:6" s="56" customFormat="1" x14ac:dyDescent="0.35">
      <c r="A892" s="111"/>
      <c r="B892" s="112"/>
      <c r="C892" s="111"/>
      <c r="F892" s="111"/>
    </row>
    <row r="893" spans="1:6" s="56" customFormat="1" x14ac:dyDescent="0.35">
      <c r="A893" s="111"/>
      <c r="B893" s="112"/>
      <c r="C893" s="111"/>
      <c r="F893" s="111"/>
    </row>
    <row r="894" spans="1:6" s="56" customFormat="1" x14ac:dyDescent="0.35">
      <c r="A894" s="111"/>
      <c r="B894" s="112"/>
      <c r="C894" s="111"/>
      <c r="F894" s="111"/>
    </row>
    <row r="895" spans="1:6" s="56" customFormat="1" x14ac:dyDescent="0.35">
      <c r="A895" s="111"/>
      <c r="B895" s="112"/>
      <c r="C895" s="111"/>
      <c r="F895" s="111"/>
    </row>
    <row r="896" spans="1:6" s="56" customFormat="1" x14ac:dyDescent="0.35">
      <c r="A896" s="111"/>
      <c r="B896" s="112"/>
      <c r="C896" s="111"/>
      <c r="F896" s="111"/>
    </row>
    <row r="897" spans="1:6" s="56" customFormat="1" x14ac:dyDescent="0.35">
      <c r="A897" s="111"/>
      <c r="B897" s="112"/>
      <c r="C897" s="111"/>
      <c r="F897" s="111"/>
    </row>
    <row r="898" spans="1:6" s="56" customFormat="1" x14ac:dyDescent="0.35">
      <c r="A898" s="111"/>
      <c r="B898" s="112"/>
      <c r="C898" s="111"/>
      <c r="F898" s="111"/>
    </row>
    <row r="899" spans="1:6" s="56" customFormat="1" x14ac:dyDescent="0.35">
      <c r="A899" s="111"/>
      <c r="B899" s="112"/>
      <c r="C899" s="111"/>
      <c r="F899" s="111"/>
    </row>
    <row r="900" spans="1:6" s="56" customFormat="1" x14ac:dyDescent="0.35">
      <c r="A900" s="111"/>
      <c r="B900" s="112"/>
      <c r="C900" s="111"/>
      <c r="F900" s="111"/>
    </row>
    <row r="901" spans="1:6" s="56" customFormat="1" x14ac:dyDescent="0.35">
      <c r="A901" s="111"/>
      <c r="B901" s="112"/>
      <c r="C901" s="111"/>
      <c r="F901" s="111"/>
    </row>
    <row r="902" spans="1:6" s="56" customFormat="1" x14ac:dyDescent="0.35">
      <c r="A902" s="111"/>
      <c r="B902" s="112"/>
      <c r="C902" s="111"/>
      <c r="F902" s="111"/>
    </row>
    <row r="903" spans="1:6" s="56" customFormat="1" x14ac:dyDescent="0.35">
      <c r="A903" s="111"/>
      <c r="B903" s="112"/>
      <c r="C903" s="111"/>
      <c r="F903" s="111"/>
    </row>
    <row r="904" spans="1:6" s="56" customFormat="1" x14ac:dyDescent="0.35">
      <c r="A904" s="111"/>
      <c r="B904" s="112"/>
      <c r="C904" s="111"/>
      <c r="F904" s="111"/>
    </row>
    <row r="905" spans="1:6" s="56" customFormat="1" x14ac:dyDescent="0.35">
      <c r="A905" s="111"/>
      <c r="B905" s="112"/>
      <c r="C905" s="111"/>
      <c r="F905" s="111"/>
    </row>
    <row r="906" spans="1:6" s="56" customFormat="1" x14ac:dyDescent="0.35">
      <c r="A906" s="111"/>
      <c r="B906" s="112"/>
      <c r="C906" s="111"/>
      <c r="F906" s="111"/>
    </row>
    <row r="907" spans="1:6" s="56" customFormat="1" x14ac:dyDescent="0.35">
      <c r="A907" s="111"/>
      <c r="B907" s="112"/>
      <c r="C907" s="111"/>
      <c r="F907" s="111"/>
    </row>
    <row r="908" spans="1:6" s="56" customFormat="1" x14ac:dyDescent="0.35">
      <c r="A908" s="111"/>
      <c r="B908" s="112"/>
      <c r="C908" s="111"/>
      <c r="F908" s="111"/>
    </row>
    <row r="909" spans="1:6" s="56" customFormat="1" x14ac:dyDescent="0.35">
      <c r="A909" s="111"/>
      <c r="B909" s="112"/>
      <c r="C909" s="111"/>
      <c r="F909" s="111"/>
    </row>
    <row r="910" spans="1:6" s="56" customFormat="1" x14ac:dyDescent="0.35">
      <c r="A910" s="111"/>
      <c r="B910" s="112"/>
      <c r="C910" s="111"/>
      <c r="F910" s="111"/>
    </row>
    <row r="911" spans="1:6" s="56" customFormat="1" x14ac:dyDescent="0.35">
      <c r="A911" s="111"/>
      <c r="B911" s="112"/>
      <c r="C911" s="111"/>
      <c r="F911" s="111"/>
    </row>
    <row r="912" spans="1:6" s="56" customFormat="1" x14ac:dyDescent="0.35">
      <c r="A912" s="111"/>
      <c r="B912" s="112"/>
      <c r="C912" s="111"/>
      <c r="F912" s="111"/>
    </row>
    <row r="913" spans="1:6" s="56" customFormat="1" x14ac:dyDescent="0.35">
      <c r="A913" s="111"/>
      <c r="B913" s="112"/>
      <c r="C913" s="111"/>
      <c r="F913" s="111"/>
    </row>
    <row r="914" spans="1:6" s="56" customFormat="1" x14ac:dyDescent="0.35">
      <c r="A914" s="111"/>
      <c r="B914" s="112"/>
      <c r="C914" s="111"/>
      <c r="F914" s="111"/>
    </row>
    <row r="915" spans="1:6" s="56" customFormat="1" x14ac:dyDescent="0.35">
      <c r="A915" s="111"/>
      <c r="B915" s="112"/>
      <c r="C915" s="111"/>
      <c r="F915" s="111"/>
    </row>
    <row r="916" spans="1:6" s="56" customFormat="1" x14ac:dyDescent="0.35">
      <c r="A916" s="111"/>
      <c r="B916" s="112"/>
      <c r="C916" s="111"/>
      <c r="F916" s="111"/>
    </row>
    <row r="917" spans="1:6" s="56" customFormat="1" x14ac:dyDescent="0.35">
      <c r="A917" s="111"/>
      <c r="B917" s="112"/>
      <c r="C917" s="111"/>
      <c r="F917" s="111"/>
    </row>
    <row r="918" spans="1:6" s="56" customFormat="1" x14ac:dyDescent="0.35">
      <c r="A918" s="111"/>
      <c r="B918" s="112"/>
      <c r="C918" s="111"/>
      <c r="F918" s="111"/>
    </row>
    <row r="919" spans="1:6" s="56" customFormat="1" x14ac:dyDescent="0.35">
      <c r="A919" s="111"/>
      <c r="B919" s="112"/>
      <c r="C919" s="111"/>
      <c r="F919" s="111"/>
    </row>
    <row r="920" spans="1:6" s="56" customFormat="1" x14ac:dyDescent="0.35">
      <c r="A920" s="111"/>
      <c r="B920" s="112"/>
      <c r="C920" s="111"/>
      <c r="F920" s="111"/>
    </row>
    <row r="921" spans="1:6" s="56" customFormat="1" x14ac:dyDescent="0.35">
      <c r="A921" s="111"/>
      <c r="B921" s="112"/>
      <c r="C921" s="111"/>
      <c r="F921" s="111"/>
    </row>
    <row r="922" spans="1:6" s="56" customFormat="1" x14ac:dyDescent="0.35">
      <c r="A922" s="111"/>
      <c r="B922" s="112"/>
      <c r="C922" s="111"/>
      <c r="F922" s="111"/>
    </row>
    <row r="923" spans="1:6" s="56" customFormat="1" x14ac:dyDescent="0.35">
      <c r="A923" s="111"/>
      <c r="B923" s="112"/>
      <c r="C923" s="111"/>
      <c r="F923" s="111"/>
    </row>
    <row r="924" spans="1:6" s="56" customFormat="1" x14ac:dyDescent="0.35">
      <c r="A924" s="111"/>
      <c r="B924" s="112"/>
      <c r="C924" s="111"/>
      <c r="F924" s="111"/>
    </row>
    <row r="925" spans="1:6" s="56" customFormat="1" x14ac:dyDescent="0.35">
      <c r="A925" s="111"/>
      <c r="B925" s="112"/>
      <c r="C925" s="111"/>
      <c r="F925" s="111"/>
    </row>
    <row r="926" spans="1:6" s="56" customFormat="1" x14ac:dyDescent="0.35">
      <c r="A926" s="111"/>
      <c r="B926" s="112"/>
      <c r="C926" s="111"/>
      <c r="F926" s="111"/>
    </row>
    <row r="927" spans="1:6" s="56" customFormat="1" x14ac:dyDescent="0.35">
      <c r="A927" s="111"/>
      <c r="B927" s="112"/>
      <c r="C927" s="111"/>
      <c r="F927" s="111"/>
    </row>
    <row r="928" spans="1:6" s="56" customFormat="1" x14ac:dyDescent="0.35">
      <c r="A928" s="111"/>
      <c r="B928" s="112"/>
      <c r="C928" s="111"/>
      <c r="F928" s="111"/>
    </row>
    <row r="929" spans="1:6" s="56" customFormat="1" x14ac:dyDescent="0.35">
      <c r="A929" s="111"/>
      <c r="B929" s="112"/>
      <c r="C929" s="111"/>
      <c r="F929" s="111"/>
    </row>
    <row r="930" spans="1:6" s="56" customFormat="1" x14ac:dyDescent="0.35">
      <c r="A930" s="111"/>
      <c r="B930" s="112"/>
      <c r="C930" s="111"/>
      <c r="F930" s="111"/>
    </row>
    <row r="931" spans="1:6" s="56" customFormat="1" x14ac:dyDescent="0.35">
      <c r="A931" s="111"/>
      <c r="B931" s="112"/>
      <c r="C931" s="111"/>
      <c r="F931" s="111"/>
    </row>
    <row r="932" spans="1:6" s="56" customFormat="1" x14ac:dyDescent="0.35">
      <c r="A932" s="111"/>
      <c r="B932" s="112"/>
      <c r="C932" s="111"/>
      <c r="F932" s="111"/>
    </row>
    <row r="933" spans="1:6" s="56" customFormat="1" x14ac:dyDescent="0.35">
      <c r="A933" s="111"/>
      <c r="B933" s="112"/>
      <c r="C933" s="111"/>
      <c r="F933" s="111"/>
    </row>
    <row r="934" spans="1:6" s="56" customFormat="1" x14ac:dyDescent="0.35">
      <c r="A934" s="111"/>
      <c r="B934" s="112"/>
      <c r="C934" s="111"/>
      <c r="F934" s="111"/>
    </row>
    <row r="935" spans="1:6" s="56" customFormat="1" x14ac:dyDescent="0.35">
      <c r="A935" s="111"/>
      <c r="B935" s="112"/>
      <c r="C935" s="111"/>
      <c r="F935" s="111"/>
    </row>
    <row r="936" spans="1:6" s="56" customFormat="1" x14ac:dyDescent="0.35">
      <c r="A936" s="111"/>
      <c r="B936" s="112"/>
      <c r="C936" s="111"/>
      <c r="F936" s="111"/>
    </row>
    <row r="937" spans="1:6" s="56" customFormat="1" x14ac:dyDescent="0.35">
      <c r="A937" s="111"/>
      <c r="B937" s="112"/>
      <c r="C937" s="111"/>
      <c r="F937" s="111"/>
    </row>
    <row r="938" spans="1:6" s="56" customFormat="1" x14ac:dyDescent="0.35">
      <c r="A938" s="111"/>
      <c r="B938" s="112"/>
      <c r="C938" s="111"/>
      <c r="F938" s="111"/>
    </row>
    <row r="939" spans="1:6" s="56" customFormat="1" x14ac:dyDescent="0.35">
      <c r="A939" s="111"/>
      <c r="B939" s="112"/>
      <c r="C939" s="111"/>
      <c r="F939" s="111"/>
    </row>
    <row r="940" spans="1:6" s="56" customFormat="1" x14ac:dyDescent="0.35">
      <c r="A940" s="111"/>
      <c r="B940" s="112"/>
      <c r="C940" s="111"/>
      <c r="F940" s="111"/>
    </row>
    <row r="941" spans="1:6" s="56" customFormat="1" x14ac:dyDescent="0.35">
      <c r="A941" s="111"/>
      <c r="B941" s="112"/>
      <c r="C941" s="111"/>
      <c r="F941" s="111"/>
    </row>
    <row r="942" spans="1:6" s="56" customFormat="1" x14ac:dyDescent="0.35">
      <c r="A942" s="111"/>
      <c r="B942" s="112"/>
      <c r="C942" s="111"/>
      <c r="F942" s="111"/>
    </row>
    <row r="943" spans="1:6" s="56" customFormat="1" x14ac:dyDescent="0.35">
      <c r="A943" s="111"/>
      <c r="B943" s="112"/>
      <c r="C943" s="111"/>
      <c r="F943" s="111"/>
    </row>
    <row r="944" spans="1:6" s="56" customFormat="1" x14ac:dyDescent="0.35">
      <c r="A944" s="111"/>
      <c r="B944" s="112"/>
      <c r="C944" s="111"/>
      <c r="F944" s="111"/>
    </row>
    <row r="945" spans="1:6" s="56" customFormat="1" x14ac:dyDescent="0.35">
      <c r="A945" s="111"/>
      <c r="B945" s="112"/>
      <c r="C945" s="111"/>
      <c r="F945" s="111"/>
    </row>
    <row r="946" spans="1:6" s="56" customFormat="1" x14ac:dyDescent="0.35">
      <c r="A946" s="111"/>
      <c r="B946" s="112"/>
      <c r="C946" s="111"/>
      <c r="F946" s="111"/>
    </row>
    <row r="947" spans="1:6" s="56" customFormat="1" x14ac:dyDescent="0.35">
      <c r="A947" s="111"/>
      <c r="B947" s="112"/>
      <c r="C947" s="111"/>
      <c r="F947" s="111"/>
    </row>
    <row r="948" spans="1:6" s="56" customFormat="1" x14ac:dyDescent="0.35">
      <c r="A948" s="111"/>
      <c r="B948" s="112"/>
      <c r="C948" s="111"/>
      <c r="F948" s="111"/>
    </row>
    <row r="949" spans="1:6" s="56" customFormat="1" x14ac:dyDescent="0.35">
      <c r="A949" s="111"/>
      <c r="B949" s="112"/>
      <c r="C949" s="111"/>
      <c r="F949" s="111"/>
    </row>
    <row r="950" spans="1:6" s="56" customFormat="1" x14ac:dyDescent="0.35">
      <c r="A950" s="111"/>
      <c r="B950" s="112"/>
      <c r="C950" s="111"/>
      <c r="F950" s="111"/>
    </row>
    <row r="951" spans="1:6" s="56" customFormat="1" x14ac:dyDescent="0.35">
      <c r="A951" s="111"/>
      <c r="B951" s="112"/>
      <c r="C951" s="111"/>
      <c r="F951" s="111"/>
    </row>
    <row r="952" spans="1:6" s="56" customFormat="1" x14ac:dyDescent="0.35">
      <c r="A952" s="111"/>
      <c r="B952" s="112"/>
      <c r="C952" s="111"/>
      <c r="F952" s="111"/>
    </row>
    <row r="953" spans="1:6" s="56" customFormat="1" x14ac:dyDescent="0.35">
      <c r="A953" s="111"/>
      <c r="B953" s="112"/>
      <c r="C953" s="111"/>
      <c r="F953" s="111"/>
    </row>
    <row r="954" spans="1:6" s="56" customFormat="1" x14ac:dyDescent="0.35">
      <c r="A954" s="111"/>
      <c r="B954" s="112"/>
      <c r="C954" s="111"/>
      <c r="F954" s="111"/>
    </row>
    <row r="955" spans="1:6" s="56" customFormat="1" x14ac:dyDescent="0.35">
      <c r="A955" s="111"/>
      <c r="B955" s="112"/>
      <c r="C955" s="111"/>
      <c r="F955" s="111"/>
    </row>
    <row r="956" spans="1:6" s="56" customFormat="1" x14ac:dyDescent="0.35">
      <c r="A956" s="111"/>
      <c r="B956" s="112"/>
      <c r="C956" s="111"/>
      <c r="F956" s="111"/>
    </row>
    <row r="957" spans="1:6" s="56" customFormat="1" x14ac:dyDescent="0.35">
      <c r="A957" s="111"/>
      <c r="B957" s="112"/>
      <c r="C957" s="111"/>
      <c r="F957" s="111"/>
    </row>
    <row r="958" spans="1:6" s="56" customFormat="1" x14ac:dyDescent="0.35">
      <c r="A958" s="111"/>
      <c r="B958" s="112"/>
      <c r="C958" s="111"/>
      <c r="F958" s="111"/>
    </row>
    <row r="959" spans="1:6" s="56" customFormat="1" x14ac:dyDescent="0.35">
      <c r="A959" s="111"/>
      <c r="B959" s="112"/>
      <c r="C959" s="111"/>
      <c r="F959" s="111"/>
    </row>
    <row r="960" spans="1:6" s="56" customFormat="1" x14ac:dyDescent="0.35">
      <c r="A960" s="111"/>
      <c r="B960" s="112"/>
      <c r="C960" s="111"/>
      <c r="F960" s="111"/>
    </row>
    <row r="961" spans="1:6" s="56" customFormat="1" x14ac:dyDescent="0.35">
      <c r="A961" s="111"/>
      <c r="B961" s="112"/>
      <c r="C961" s="111"/>
      <c r="F961" s="111"/>
    </row>
    <row r="962" spans="1:6" s="56" customFormat="1" x14ac:dyDescent="0.35">
      <c r="A962" s="111"/>
      <c r="B962" s="112"/>
      <c r="C962" s="111"/>
      <c r="F962" s="111"/>
    </row>
    <row r="963" spans="1:6" s="56" customFormat="1" x14ac:dyDescent="0.35">
      <c r="A963" s="111"/>
      <c r="B963" s="112"/>
      <c r="C963" s="111"/>
      <c r="F963" s="111"/>
    </row>
    <row r="964" spans="1:6" s="56" customFormat="1" x14ac:dyDescent="0.35">
      <c r="A964" s="111"/>
      <c r="B964" s="112"/>
      <c r="C964" s="111"/>
      <c r="F964" s="111"/>
    </row>
    <row r="965" spans="1:6" s="56" customFormat="1" x14ac:dyDescent="0.35">
      <c r="A965" s="111"/>
      <c r="B965" s="112"/>
      <c r="C965" s="111"/>
      <c r="F965" s="111"/>
    </row>
    <row r="966" spans="1:6" s="56" customFormat="1" x14ac:dyDescent="0.35">
      <c r="A966" s="111"/>
      <c r="B966" s="112"/>
      <c r="C966" s="111"/>
      <c r="F966" s="111"/>
    </row>
    <row r="967" spans="1:6" s="56" customFormat="1" x14ac:dyDescent="0.35">
      <c r="A967" s="111"/>
      <c r="B967" s="112"/>
      <c r="C967" s="111"/>
      <c r="F967" s="111"/>
    </row>
    <row r="968" spans="1:6" s="56" customFormat="1" x14ac:dyDescent="0.35">
      <c r="A968" s="111"/>
      <c r="B968" s="112"/>
      <c r="C968" s="111"/>
      <c r="F968" s="111"/>
    </row>
    <row r="969" spans="1:6" s="56" customFormat="1" x14ac:dyDescent="0.35">
      <c r="A969" s="111"/>
      <c r="B969" s="112"/>
      <c r="C969" s="111"/>
      <c r="F969" s="111"/>
    </row>
    <row r="970" spans="1:6" s="56" customFormat="1" x14ac:dyDescent="0.35">
      <c r="A970" s="111"/>
      <c r="B970" s="112"/>
      <c r="C970" s="111"/>
      <c r="F970" s="111"/>
    </row>
    <row r="971" spans="1:6" s="56" customFormat="1" x14ac:dyDescent="0.35">
      <c r="A971" s="111"/>
      <c r="B971" s="112"/>
      <c r="C971" s="111"/>
      <c r="F971" s="111"/>
    </row>
    <row r="972" spans="1:6" s="56" customFormat="1" x14ac:dyDescent="0.35">
      <c r="A972" s="111"/>
      <c r="B972" s="112"/>
      <c r="C972" s="111"/>
      <c r="F972" s="111"/>
    </row>
    <row r="973" spans="1:6" s="56" customFormat="1" x14ac:dyDescent="0.35">
      <c r="A973" s="111"/>
      <c r="B973" s="112"/>
      <c r="C973" s="111"/>
      <c r="F973" s="111"/>
    </row>
    <row r="974" spans="1:6" s="56" customFormat="1" x14ac:dyDescent="0.35">
      <c r="A974" s="111"/>
      <c r="B974" s="112"/>
      <c r="C974" s="111"/>
      <c r="F974" s="111"/>
    </row>
    <row r="975" spans="1:6" s="56" customFormat="1" x14ac:dyDescent="0.35">
      <c r="A975" s="111"/>
      <c r="B975" s="112"/>
      <c r="C975" s="111"/>
      <c r="F975" s="111"/>
    </row>
    <row r="976" spans="1:6" s="56" customFormat="1" x14ac:dyDescent="0.35">
      <c r="A976" s="111"/>
      <c r="B976" s="112"/>
      <c r="C976" s="111"/>
      <c r="F976" s="111"/>
    </row>
    <row r="977" spans="1:6" s="56" customFormat="1" x14ac:dyDescent="0.35">
      <c r="A977" s="111"/>
      <c r="B977" s="112"/>
      <c r="C977" s="111"/>
      <c r="F977" s="111"/>
    </row>
    <row r="978" spans="1:6" s="56" customFormat="1" x14ac:dyDescent="0.35">
      <c r="A978" s="111"/>
      <c r="B978" s="112"/>
      <c r="C978" s="111"/>
      <c r="F978" s="111"/>
    </row>
    <row r="979" spans="1:6" s="56" customFormat="1" x14ac:dyDescent="0.35">
      <c r="A979" s="111"/>
      <c r="B979" s="112"/>
      <c r="C979" s="111"/>
      <c r="F979" s="111"/>
    </row>
    <row r="980" spans="1:6" s="56" customFormat="1" x14ac:dyDescent="0.35">
      <c r="A980" s="111"/>
      <c r="B980" s="112"/>
      <c r="C980" s="111"/>
      <c r="F980" s="111"/>
    </row>
    <row r="981" spans="1:6" s="56" customFormat="1" x14ac:dyDescent="0.35">
      <c r="A981" s="111"/>
      <c r="B981" s="112"/>
      <c r="C981" s="111"/>
      <c r="F981" s="111"/>
    </row>
    <row r="982" spans="1:6" s="56" customFormat="1" x14ac:dyDescent="0.35">
      <c r="A982" s="111"/>
      <c r="B982" s="112"/>
      <c r="C982" s="111"/>
      <c r="F982" s="111"/>
    </row>
    <row r="983" spans="1:6" s="56" customFormat="1" x14ac:dyDescent="0.35">
      <c r="A983" s="111"/>
      <c r="B983" s="112"/>
      <c r="C983" s="111"/>
      <c r="F983" s="111"/>
    </row>
    <row r="984" spans="1:6" s="56" customFormat="1" x14ac:dyDescent="0.35">
      <c r="A984" s="111"/>
      <c r="B984" s="112"/>
      <c r="C984" s="111"/>
      <c r="F984" s="111"/>
    </row>
    <row r="985" spans="1:6" s="56" customFormat="1" x14ac:dyDescent="0.35">
      <c r="A985" s="111"/>
      <c r="B985" s="112"/>
      <c r="C985" s="111"/>
      <c r="F985" s="111"/>
    </row>
    <row r="986" spans="1:6" s="56" customFormat="1" x14ac:dyDescent="0.35">
      <c r="A986" s="111"/>
      <c r="B986" s="112"/>
      <c r="C986" s="111"/>
      <c r="F986" s="111"/>
    </row>
    <row r="987" spans="1:6" s="56" customFormat="1" x14ac:dyDescent="0.35">
      <c r="A987" s="111"/>
      <c r="B987" s="112"/>
      <c r="C987" s="111"/>
      <c r="F987" s="111"/>
    </row>
    <row r="988" spans="1:6" s="56" customFormat="1" x14ac:dyDescent="0.35">
      <c r="A988" s="111"/>
      <c r="B988" s="112"/>
      <c r="C988" s="111"/>
      <c r="F988" s="111"/>
    </row>
    <row r="989" spans="1:6" s="56" customFormat="1" x14ac:dyDescent="0.35">
      <c r="A989" s="111"/>
      <c r="B989" s="112"/>
      <c r="C989" s="111"/>
      <c r="F989" s="111"/>
    </row>
    <row r="990" spans="1:6" s="56" customFormat="1" x14ac:dyDescent="0.35">
      <c r="A990" s="111"/>
      <c r="B990" s="112"/>
      <c r="C990" s="111"/>
      <c r="F990" s="111"/>
    </row>
    <row r="991" spans="1:6" s="56" customFormat="1" x14ac:dyDescent="0.35">
      <c r="A991" s="111"/>
      <c r="B991" s="112"/>
      <c r="C991" s="111"/>
      <c r="F991" s="111"/>
    </row>
    <row r="992" spans="1:6" s="56" customFormat="1" x14ac:dyDescent="0.35">
      <c r="A992" s="111"/>
      <c r="B992" s="112"/>
      <c r="C992" s="111"/>
      <c r="F992" s="111"/>
    </row>
    <row r="993" spans="1:6" s="56" customFormat="1" x14ac:dyDescent="0.35">
      <c r="A993" s="111"/>
      <c r="B993" s="112"/>
      <c r="C993" s="111"/>
      <c r="F993" s="111"/>
    </row>
    <row r="994" spans="1:6" s="56" customFormat="1" x14ac:dyDescent="0.35">
      <c r="A994" s="111"/>
      <c r="B994" s="112"/>
      <c r="C994" s="111"/>
      <c r="F994" s="111"/>
    </row>
    <row r="995" spans="1:6" s="56" customFormat="1" x14ac:dyDescent="0.35">
      <c r="A995" s="111"/>
      <c r="B995" s="112"/>
      <c r="C995" s="111"/>
      <c r="F995" s="111"/>
    </row>
    <row r="996" spans="1:6" s="56" customFormat="1" x14ac:dyDescent="0.35">
      <c r="A996" s="111"/>
      <c r="B996" s="112"/>
      <c r="C996" s="111"/>
      <c r="F996" s="111"/>
    </row>
    <row r="997" spans="1:6" s="56" customFormat="1" x14ac:dyDescent="0.35">
      <c r="A997" s="111"/>
      <c r="B997" s="112"/>
      <c r="C997" s="111"/>
      <c r="F997" s="111"/>
    </row>
    <row r="998" spans="1:6" s="56" customFormat="1" x14ac:dyDescent="0.35">
      <c r="A998" s="111"/>
      <c r="B998" s="112"/>
      <c r="C998" s="111"/>
      <c r="F998" s="111"/>
    </row>
    <row r="999" spans="1:6" s="56" customFormat="1" x14ac:dyDescent="0.35">
      <c r="A999" s="111"/>
      <c r="B999" s="112"/>
      <c r="C999" s="111"/>
      <c r="F999" s="111"/>
    </row>
    <row r="1000" spans="1:6" s="56" customFormat="1" x14ac:dyDescent="0.35">
      <c r="A1000" s="111"/>
      <c r="B1000" s="112"/>
      <c r="C1000" s="111"/>
      <c r="F1000" s="111"/>
    </row>
    <row r="1001" spans="1:6" s="56" customFormat="1" x14ac:dyDescent="0.35">
      <c r="A1001" s="111"/>
      <c r="B1001" s="112"/>
      <c r="C1001" s="111"/>
      <c r="F1001" s="111"/>
    </row>
    <row r="1002" spans="1:6" s="56" customFormat="1" x14ac:dyDescent="0.35">
      <c r="A1002" s="111"/>
      <c r="B1002" s="112"/>
      <c r="C1002" s="111"/>
      <c r="F1002" s="111"/>
    </row>
    <row r="1003" spans="1:6" s="56" customFormat="1" x14ac:dyDescent="0.35">
      <c r="A1003" s="111"/>
      <c r="B1003" s="112"/>
      <c r="C1003" s="111"/>
      <c r="F1003" s="111"/>
    </row>
    <row r="1004" spans="1:6" s="56" customFormat="1" x14ac:dyDescent="0.35">
      <c r="A1004" s="111"/>
      <c r="B1004" s="112"/>
      <c r="C1004" s="111"/>
      <c r="F1004" s="111"/>
    </row>
    <row r="1005" spans="1:6" s="56" customFormat="1" x14ac:dyDescent="0.35">
      <c r="A1005" s="111"/>
      <c r="B1005" s="112"/>
      <c r="C1005" s="111"/>
      <c r="F1005" s="111"/>
    </row>
    <row r="1006" spans="1:6" s="56" customFormat="1" x14ac:dyDescent="0.35">
      <c r="A1006" s="111"/>
      <c r="B1006" s="112"/>
      <c r="C1006" s="111"/>
      <c r="F1006" s="111"/>
    </row>
    <row r="1007" spans="1:6" s="56" customFormat="1" x14ac:dyDescent="0.35">
      <c r="A1007" s="111"/>
      <c r="B1007" s="112"/>
      <c r="C1007" s="111"/>
      <c r="F1007" s="111"/>
    </row>
    <row r="1008" spans="1:6" s="56" customFormat="1" x14ac:dyDescent="0.35">
      <c r="A1008" s="111"/>
      <c r="B1008" s="112"/>
      <c r="C1008" s="111"/>
      <c r="F1008" s="111"/>
    </row>
    <row r="1009" spans="1:6" s="56" customFormat="1" x14ac:dyDescent="0.35">
      <c r="A1009" s="111"/>
      <c r="B1009" s="112"/>
      <c r="C1009" s="111"/>
      <c r="F1009" s="111"/>
    </row>
    <row r="1010" spans="1:6" s="56" customFormat="1" x14ac:dyDescent="0.35">
      <c r="A1010" s="111"/>
      <c r="B1010" s="112"/>
      <c r="C1010" s="111"/>
      <c r="F1010" s="111"/>
    </row>
    <row r="1011" spans="1:6" s="56" customFormat="1" x14ac:dyDescent="0.35">
      <c r="A1011" s="111"/>
      <c r="B1011" s="112"/>
      <c r="C1011" s="111"/>
      <c r="F1011" s="111"/>
    </row>
    <row r="1012" spans="1:6" s="56" customFormat="1" x14ac:dyDescent="0.35">
      <c r="A1012" s="111"/>
      <c r="B1012" s="112"/>
      <c r="C1012" s="111"/>
      <c r="F1012" s="111"/>
    </row>
    <row r="1013" spans="1:6" s="56" customFormat="1" x14ac:dyDescent="0.35">
      <c r="A1013" s="111"/>
      <c r="B1013" s="112"/>
      <c r="C1013" s="111"/>
      <c r="F1013" s="111"/>
    </row>
    <row r="1014" spans="1:6" s="56" customFormat="1" x14ac:dyDescent="0.35">
      <c r="A1014" s="111"/>
      <c r="B1014" s="112"/>
      <c r="C1014" s="111"/>
      <c r="F1014" s="111"/>
    </row>
    <row r="1015" spans="1:6" s="56" customFormat="1" x14ac:dyDescent="0.35">
      <c r="A1015" s="111"/>
      <c r="B1015" s="112"/>
      <c r="C1015" s="111"/>
      <c r="F1015" s="111"/>
    </row>
    <row r="1016" spans="1:6" s="56" customFormat="1" x14ac:dyDescent="0.35">
      <c r="A1016" s="111"/>
      <c r="B1016" s="112"/>
      <c r="C1016" s="111"/>
      <c r="F1016" s="111"/>
    </row>
    <row r="1017" spans="1:6" s="56" customFormat="1" x14ac:dyDescent="0.35">
      <c r="A1017" s="111"/>
      <c r="B1017" s="112"/>
      <c r="C1017" s="111"/>
      <c r="F1017" s="111"/>
    </row>
    <row r="1018" spans="1:6" s="56" customFormat="1" x14ac:dyDescent="0.35">
      <c r="A1018" s="111"/>
      <c r="B1018" s="112"/>
      <c r="C1018" s="111"/>
      <c r="F1018" s="111"/>
    </row>
    <row r="1019" spans="1:6" s="56" customFormat="1" x14ac:dyDescent="0.35">
      <c r="A1019" s="111"/>
      <c r="B1019" s="112"/>
      <c r="C1019" s="111"/>
      <c r="F1019" s="111"/>
    </row>
    <row r="1020" spans="1:6" s="56" customFormat="1" x14ac:dyDescent="0.35">
      <c r="A1020" s="111"/>
      <c r="B1020" s="112"/>
      <c r="C1020" s="111"/>
      <c r="F1020" s="111"/>
    </row>
    <row r="1021" spans="1:6" s="56" customFormat="1" x14ac:dyDescent="0.35">
      <c r="A1021" s="111"/>
      <c r="B1021" s="112"/>
      <c r="C1021" s="111"/>
      <c r="F1021" s="111"/>
    </row>
    <row r="1022" spans="1:6" s="56" customFormat="1" x14ac:dyDescent="0.35">
      <c r="A1022" s="111"/>
      <c r="B1022" s="112"/>
      <c r="C1022" s="111"/>
      <c r="F1022" s="111"/>
    </row>
    <row r="1023" spans="1:6" s="56" customFormat="1" x14ac:dyDescent="0.35">
      <c r="A1023" s="111"/>
      <c r="B1023" s="112"/>
      <c r="C1023" s="111"/>
      <c r="F1023" s="111"/>
    </row>
    <row r="1024" spans="1:6" s="56" customFormat="1" x14ac:dyDescent="0.35">
      <c r="A1024" s="111"/>
      <c r="B1024" s="112"/>
      <c r="C1024" s="111"/>
      <c r="F1024" s="111"/>
    </row>
    <row r="1025" spans="1:6" s="56" customFormat="1" x14ac:dyDescent="0.35">
      <c r="A1025" s="111"/>
      <c r="B1025" s="112"/>
      <c r="C1025" s="111"/>
      <c r="F1025" s="111"/>
    </row>
    <row r="1026" spans="1:6" s="56" customFormat="1" x14ac:dyDescent="0.35">
      <c r="A1026" s="111"/>
      <c r="B1026" s="112"/>
      <c r="C1026" s="111"/>
      <c r="F1026" s="111"/>
    </row>
    <row r="1027" spans="1:6" s="56" customFormat="1" x14ac:dyDescent="0.35">
      <c r="A1027" s="111"/>
      <c r="B1027" s="112"/>
      <c r="C1027" s="111"/>
      <c r="F1027" s="111"/>
    </row>
    <row r="1028" spans="1:6" s="56" customFormat="1" x14ac:dyDescent="0.35">
      <c r="A1028" s="111"/>
      <c r="B1028" s="112"/>
      <c r="C1028" s="111"/>
      <c r="F1028" s="111"/>
    </row>
    <row r="1029" spans="1:6" s="56" customFormat="1" x14ac:dyDescent="0.35">
      <c r="A1029" s="111"/>
      <c r="B1029" s="112"/>
      <c r="C1029" s="111"/>
      <c r="F1029" s="111"/>
    </row>
    <row r="1030" spans="1:6" s="56" customFormat="1" x14ac:dyDescent="0.35">
      <c r="A1030" s="111"/>
      <c r="B1030" s="112"/>
      <c r="C1030" s="111"/>
      <c r="F1030" s="111"/>
    </row>
    <row r="1031" spans="1:6" s="56" customFormat="1" x14ac:dyDescent="0.35">
      <c r="A1031" s="111"/>
      <c r="B1031" s="112"/>
      <c r="C1031" s="111"/>
      <c r="F1031" s="111"/>
    </row>
    <row r="1032" spans="1:6" s="56" customFormat="1" x14ac:dyDescent="0.35">
      <c r="A1032" s="111"/>
      <c r="B1032" s="112"/>
      <c r="C1032" s="111"/>
      <c r="F1032" s="111"/>
    </row>
    <row r="1033" spans="1:6" s="56" customFormat="1" x14ac:dyDescent="0.35">
      <c r="A1033" s="111"/>
      <c r="B1033" s="112"/>
      <c r="C1033" s="111"/>
      <c r="F1033" s="111"/>
    </row>
    <row r="1034" spans="1:6" s="56" customFormat="1" x14ac:dyDescent="0.35">
      <c r="A1034" s="111"/>
      <c r="B1034" s="112"/>
      <c r="C1034" s="111"/>
      <c r="F1034" s="111"/>
    </row>
    <row r="1035" spans="1:6" s="56" customFormat="1" x14ac:dyDescent="0.35">
      <c r="A1035" s="111"/>
      <c r="B1035" s="112"/>
      <c r="C1035" s="111"/>
      <c r="F1035" s="111"/>
    </row>
    <row r="1036" spans="1:6" s="56" customFormat="1" x14ac:dyDescent="0.35">
      <c r="A1036" s="111"/>
      <c r="B1036" s="112"/>
      <c r="C1036" s="111"/>
      <c r="F1036" s="111"/>
    </row>
    <row r="1037" spans="1:6" s="56" customFormat="1" x14ac:dyDescent="0.35">
      <c r="A1037" s="111"/>
      <c r="B1037" s="112"/>
      <c r="C1037" s="111"/>
      <c r="F1037" s="111"/>
    </row>
    <row r="1038" spans="1:6" s="56" customFormat="1" x14ac:dyDescent="0.35">
      <c r="A1038" s="111"/>
      <c r="B1038" s="112"/>
      <c r="C1038" s="111"/>
      <c r="F1038" s="111"/>
    </row>
    <row r="1039" spans="1:6" s="56" customFormat="1" x14ac:dyDescent="0.35">
      <c r="A1039" s="111"/>
      <c r="B1039" s="112"/>
      <c r="C1039" s="111"/>
      <c r="F1039" s="111"/>
    </row>
    <row r="1040" spans="1:6" s="56" customFormat="1" x14ac:dyDescent="0.35">
      <c r="A1040" s="111"/>
      <c r="B1040" s="112"/>
      <c r="C1040" s="111"/>
      <c r="F1040" s="111"/>
    </row>
    <row r="1041" spans="1:6" s="56" customFormat="1" x14ac:dyDescent="0.35">
      <c r="A1041" s="111"/>
      <c r="B1041" s="112"/>
      <c r="C1041" s="111"/>
      <c r="F1041" s="111"/>
    </row>
    <row r="1042" spans="1:6" s="56" customFormat="1" x14ac:dyDescent="0.35">
      <c r="A1042" s="111"/>
      <c r="B1042" s="112"/>
      <c r="C1042" s="111"/>
      <c r="F1042" s="111"/>
    </row>
    <row r="1043" spans="1:6" s="56" customFormat="1" x14ac:dyDescent="0.35">
      <c r="A1043" s="111"/>
      <c r="B1043" s="112"/>
      <c r="C1043" s="111"/>
      <c r="F1043" s="111"/>
    </row>
    <row r="1044" spans="1:6" s="56" customFormat="1" x14ac:dyDescent="0.35">
      <c r="A1044" s="111"/>
      <c r="B1044" s="112"/>
      <c r="C1044" s="111"/>
      <c r="F1044" s="111"/>
    </row>
    <row r="1045" spans="1:6" s="56" customFormat="1" x14ac:dyDescent="0.35">
      <c r="A1045" s="111"/>
      <c r="B1045" s="112"/>
      <c r="C1045" s="111"/>
      <c r="F1045" s="111"/>
    </row>
    <row r="1046" spans="1:6" s="56" customFormat="1" x14ac:dyDescent="0.35">
      <c r="A1046" s="111"/>
      <c r="B1046" s="112"/>
      <c r="C1046" s="111"/>
      <c r="F1046" s="111"/>
    </row>
    <row r="1047" spans="1:6" s="56" customFormat="1" x14ac:dyDescent="0.35">
      <c r="A1047" s="111"/>
      <c r="B1047" s="112"/>
      <c r="C1047" s="111"/>
      <c r="F1047" s="111"/>
    </row>
    <row r="1048" spans="1:6" s="56" customFormat="1" x14ac:dyDescent="0.35">
      <c r="A1048" s="111"/>
      <c r="B1048" s="112"/>
      <c r="C1048" s="111"/>
      <c r="F1048" s="111"/>
    </row>
    <row r="1049" spans="1:6" s="56" customFormat="1" x14ac:dyDescent="0.35">
      <c r="A1049" s="111"/>
      <c r="B1049" s="112"/>
      <c r="C1049" s="111"/>
      <c r="F1049" s="111"/>
    </row>
    <row r="1050" spans="1:6" s="56" customFormat="1" x14ac:dyDescent="0.35">
      <c r="A1050" s="111"/>
      <c r="B1050" s="112"/>
      <c r="C1050" s="111"/>
      <c r="F1050" s="111"/>
    </row>
    <row r="1051" spans="1:6" s="56" customFormat="1" x14ac:dyDescent="0.35">
      <c r="A1051" s="111"/>
      <c r="B1051" s="112"/>
      <c r="C1051" s="111"/>
      <c r="F1051" s="111"/>
    </row>
    <row r="1052" spans="1:6" s="56" customFormat="1" x14ac:dyDescent="0.35">
      <c r="A1052" s="111"/>
      <c r="B1052" s="112"/>
      <c r="C1052" s="111"/>
      <c r="F1052" s="111"/>
    </row>
    <row r="1053" spans="1:6" s="56" customFormat="1" x14ac:dyDescent="0.35">
      <c r="A1053" s="111"/>
      <c r="B1053" s="112"/>
      <c r="C1053" s="111"/>
      <c r="F1053" s="111"/>
    </row>
    <row r="1054" spans="1:6" s="56" customFormat="1" x14ac:dyDescent="0.35">
      <c r="A1054" s="111"/>
      <c r="B1054" s="112"/>
      <c r="C1054" s="111"/>
      <c r="F1054" s="111"/>
    </row>
    <row r="1055" spans="1:6" s="56" customFormat="1" x14ac:dyDescent="0.35">
      <c r="A1055" s="111"/>
      <c r="B1055" s="112"/>
      <c r="C1055" s="111"/>
      <c r="F1055" s="111"/>
    </row>
    <row r="1056" spans="1:6" s="56" customFormat="1" x14ac:dyDescent="0.35">
      <c r="A1056" s="111"/>
      <c r="B1056" s="112"/>
      <c r="C1056" s="111"/>
      <c r="F1056" s="111"/>
    </row>
    <row r="1057" spans="1:6" s="56" customFormat="1" x14ac:dyDescent="0.35">
      <c r="A1057" s="111"/>
      <c r="B1057" s="112"/>
      <c r="C1057" s="111"/>
      <c r="F1057" s="111"/>
    </row>
    <row r="1058" spans="1:6" s="56" customFormat="1" x14ac:dyDescent="0.35">
      <c r="A1058" s="111"/>
      <c r="B1058" s="112"/>
      <c r="C1058" s="111"/>
      <c r="F1058" s="111"/>
    </row>
    <row r="1059" spans="1:6" s="56" customFormat="1" x14ac:dyDescent="0.35">
      <c r="A1059" s="111"/>
      <c r="B1059" s="112"/>
      <c r="C1059" s="111"/>
      <c r="F1059" s="111"/>
    </row>
    <row r="1060" spans="1:6" s="56" customFormat="1" x14ac:dyDescent="0.35">
      <c r="A1060" s="111"/>
      <c r="B1060" s="112"/>
      <c r="C1060" s="111"/>
      <c r="F1060" s="111"/>
    </row>
    <row r="1061" spans="1:6" s="56" customFormat="1" x14ac:dyDescent="0.35">
      <c r="A1061" s="111"/>
      <c r="B1061" s="112"/>
      <c r="C1061" s="111"/>
      <c r="F1061" s="111"/>
    </row>
    <row r="1062" spans="1:6" s="56" customFormat="1" x14ac:dyDescent="0.35">
      <c r="A1062" s="111"/>
      <c r="B1062" s="112"/>
      <c r="C1062" s="111"/>
      <c r="F1062" s="111"/>
    </row>
    <row r="1063" spans="1:6" s="56" customFormat="1" x14ac:dyDescent="0.35">
      <c r="A1063" s="111"/>
      <c r="B1063" s="112"/>
      <c r="C1063" s="111"/>
      <c r="F1063" s="111"/>
    </row>
    <row r="1064" spans="1:6" s="56" customFormat="1" x14ac:dyDescent="0.35">
      <c r="A1064" s="111"/>
      <c r="B1064" s="112"/>
      <c r="C1064" s="111"/>
      <c r="F1064" s="111"/>
    </row>
    <row r="1065" spans="1:6" s="56" customFormat="1" x14ac:dyDescent="0.35">
      <c r="A1065" s="111"/>
      <c r="B1065" s="112"/>
      <c r="C1065" s="111"/>
      <c r="F1065" s="111"/>
    </row>
    <row r="1066" spans="1:6" s="56" customFormat="1" x14ac:dyDescent="0.35">
      <c r="A1066" s="111"/>
      <c r="B1066" s="112"/>
      <c r="C1066" s="111"/>
      <c r="F1066" s="111"/>
    </row>
    <row r="1067" spans="1:6" s="56" customFormat="1" x14ac:dyDescent="0.35">
      <c r="A1067" s="111"/>
      <c r="B1067" s="112"/>
      <c r="C1067" s="111"/>
      <c r="F1067" s="111"/>
    </row>
    <row r="1068" spans="1:6" s="56" customFormat="1" x14ac:dyDescent="0.35">
      <c r="A1068" s="111"/>
      <c r="B1068" s="112"/>
      <c r="C1068" s="111"/>
      <c r="F1068" s="111"/>
    </row>
    <row r="1069" spans="1:6" s="56" customFormat="1" x14ac:dyDescent="0.35">
      <c r="A1069" s="111"/>
      <c r="B1069" s="112"/>
      <c r="C1069" s="111"/>
      <c r="F1069" s="111"/>
    </row>
    <row r="1070" spans="1:6" s="56" customFormat="1" x14ac:dyDescent="0.35">
      <c r="A1070" s="111"/>
      <c r="B1070" s="112"/>
      <c r="C1070" s="111"/>
      <c r="F1070" s="111"/>
    </row>
    <row r="1071" spans="1:6" s="56" customFormat="1" x14ac:dyDescent="0.35">
      <c r="A1071" s="111"/>
      <c r="B1071" s="112"/>
      <c r="C1071" s="111"/>
      <c r="F1071" s="111"/>
    </row>
    <row r="1072" spans="1:6" s="56" customFormat="1" x14ac:dyDescent="0.35">
      <c r="A1072" s="111"/>
      <c r="B1072" s="112"/>
      <c r="C1072" s="111"/>
      <c r="F1072" s="111"/>
    </row>
    <row r="1073" spans="1:6" s="56" customFormat="1" x14ac:dyDescent="0.35">
      <c r="A1073" s="111"/>
      <c r="B1073" s="112"/>
      <c r="C1073" s="111"/>
      <c r="F1073" s="111"/>
    </row>
    <row r="1074" spans="1:6" s="56" customFormat="1" x14ac:dyDescent="0.35">
      <c r="A1074" s="111"/>
      <c r="B1074" s="112"/>
      <c r="C1074" s="111"/>
      <c r="F1074" s="111"/>
    </row>
    <row r="1075" spans="1:6" s="56" customFormat="1" x14ac:dyDescent="0.35">
      <c r="A1075" s="111"/>
      <c r="B1075" s="112"/>
      <c r="C1075" s="111"/>
      <c r="F1075" s="111"/>
    </row>
    <row r="1076" spans="1:6" s="56" customFormat="1" x14ac:dyDescent="0.35">
      <c r="A1076" s="111"/>
      <c r="B1076" s="112"/>
      <c r="C1076" s="111"/>
      <c r="F1076" s="111"/>
    </row>
    <row r="1077" spans="1:6" s="56" customFormat="1" x14ac:dyDescent="0.35">
      <c r="A1077" s="111"/>
      <c r="B1077" s="112"/>
      <c r="C1077" s="111"/>
      <c r="F1077" s="111"/>
    </row>
    <row r="1078" spans="1:6" s="56" customFormat="1" x14ac:dyDescent="0.35">
      <c r="A1078" s="111"/>
      <c r="B1078" s="112"/>
      <c r="C1078" s="111"/>
      <c r="F1078" s="111"/>
    </row>
    <row r="1079" spans="1:6" s="56" customFormat="1" x14ac:dyDescent="0.35">
      <c r="A1079" s="111"/>
      <c r="B1079" s="112"/>
      <c r="C1079" s="111"/>
      <c r="F1079" s="111"/>
    </row>
    <row r="1080" spans="1:6" s="56" customFormat="1" x14ac:dyDescent="0.35">
      <c r="A1080" s="111"/>
      <c r="B1080" s="112"/>
      <c r="C1080" s="111"/>
      <c r="F1080" s="111"/>
    </row>
    <row r="1081" spans="1:6" s="56" customFormat="1" x14ac:dyDescent="0.35">
      <c r="A1081" s="111"/>
      <c r="B1081" s="112"/>
      <c r="C1081" s="111"/>
      <c r="F1081" s="111"/>
    </row>
    <row r="1082" spans="1:6" s="56" customFormat="1" x14ac:dyDescent="0.35">
      <c r="A1082" s="111"/>
      <c r="B1082" s="112"/>
      <c r="C1082" s="111"/>
      <c r="F1082" s="111"/>
    </row>
    <row r="1083" spans="1:6" s="56" customFormat="1" x14ac:dyDescent="0.35">
      <c r="A1083" s="111"/>
      <c r="B1083" s="112"/>
      <c r="C1083" s="111"/>
      <c r="F1083" s="111"/>
    </row>
    <row r="1084" spans="1:6" s="56" customFormat="1" x14ac:dyDescent="0.35">
      <c r="A1084" s="111"/>
      <c r="B1084" s="112"/>
      <c r="C1084" s="111"/>
      <c r="F1084" s="111"/>
    </row>
    <row r="1085" spans="1:6" s="56" customFormat="1" x14ac:dyDescent="0.35">
      <c r="A1085" s="111"/>
      <c r="B1085" s="112"/>
      <c r="C1085" s="111"/>
      <c r="F1085" s="111"/>
    </row>
    <row r="1086" spans="1:6" s="56" customFormat="1" x14ac:dyDescent="0.35">
      <c r="A1086" s="111"/>
      <c r="B1086" s="112"/>
      <c r="C1086" s="111"/>
      <c r="F1086" s="111"/>
    </row>
    <row r="1087" spans="1:6" s="56" customFormat="1" x14ac:dyDescent="0.35">
      <c r="A1087" s="111"/>
      <c r="B1087" s="112"/>
      <c r="C1087" s="111"/>
      <c r="F1087" s="111"/>
    </row>
    <row r="1088" spans="1:6" s="56" customFormat="1" x14ac:dyDescent="0.35">
      <c r="A1088" s="111"/>
      <c r="B1088" s="112"/>
      <c r="C1088" s="111"/>
      <c r="F1088" s="111"/>
    </row>
    <row r="1089" spans="1:6" s="56" customFormat="1" x14ac:dyDescent="0.35">
      <c r="A1089" s="111"/>
      <c r="B1089" s="112"/>
      <c r="C1089" s="111"/>
      <c r="F1089" s="111"/>
    </row>
    <row r="1090" spans="1:6" s="56" customFormat="1" x14ac:dyDescent="0.35">
      <c r="A1090" s="111"/>
      <c r="B1090" s="112"/>
      <c r="C1090" s="111"/>
      <c r="F1090" s="111"/>
    </row>
    <row r="1091" spans="1:6" s="56" customFormat="1" x14ac:dyDescent="0.35">
      <c r="A1091" s="111"/>
      <c r="B1091" s="112"/>
      <c r="C1091" s="111"/>
      <c r="F1091" s="111"/>
    </row>
    <row r="1092" spans="1:6" s="56" customFormat="1" x14ac:dyDescent="0.35">
      <c r="A1092" s="111"/>
      <c r="B1092" s="112"/>
      <c r="C1092" s="111"/>
      <c r="F1092" s="111"/>
    </row>
    <row r="1093" spans="1:6" s="56" customFormat="1" x14ac:dyDescent="0.35">
      <c r="A1093" s="111"/>
      <c r="B1093" s="112"/>
      <c r="C1093" s="111"/>
      <c r="F1093" s="111"/>
    </row>
    <row r="1094" spans="1:6" s="56" customFormat="1" x14ac:dyDescent="0.35">
      <c r="A1094" s="111"/>
      <c r="B1094" s="112"/>
      <c r="C1094" s="111"/>
      <c r="F1094" s="111"/>
    </row>
    <row r="1095" spans="1:6" s="56" customFormat="1" x14ac:dyDescent="0.35">
      <c r="A1095" s="111"/>
      <c r="B1095" s="112"/>
      <c r="C1095" s="111"/>
      <c r="F1095" s="111"/>
    </row>
    <row r="1096" spans="1:6" s="56" customFormat="1" x14ac:dyDescent="0.35">
      <c r="A1096" s="111"/>
      <c r="B1096" s="112"/>
      <c r="C1096" s="111"/>
      <c r="F1096" s="111"/>
    </row>
    <row r="1097" spans="1:6" s="56" customFormat="1" x14ac:dyDescent="0.35">
      <c r="A1097" s="111"/>
      <c r="B1097" s="112"/>
      <c r="C1097" s="111"/>
      <c r="F1097" s="111"/>
    </row>
    <row r="1098" spans="1:6" s="56" customFormat="1" x14ac:dyDescent="0.35">
      <c r="A1098" s="111"/>
      <c r="B1098" s="112"/>
      <c r="C1098" s="111"/>
      <c r="F1098" s="111"/>
    </row>
    <row r="1099" spans="1:6" s="56" customFormat="1" x14ac:dyDescent="0.35">
      <c r="A1099" s="111"/>
      <c r="B1099" s="112"/>
      <c r="C1099" s="111"/>
      <c r="F1099" s="111"/>
    </row>
    <row r="1100" spans="1:6" s="56" customFormat="1" x14ac:dyDescent="0.35">
      <c r="A1100" s="111"/>
      <c r="B1100" s="112"/>
      <c r="C1100" s="111"/>
      <c r="F1100" s="111"/>
    </row>
    <row r="1101" spans="1:6" s="56" customFormat="1" x14ac:dyDescent="0.35">
      <c r="A1101" s="111"/>
      <c r="B1101" s="112"/>
      <c r="C1101" s="111"/>
      <c r="F1101" s="111"/>
    </row>
    <row r="1102" spans="1:6" s="56" customFormat="1" x14ac:dyDescent="0.35">
      <c r="A1102" s="111"/>
      <c r="B1102" s="112"/>
      <c r="C1102" s="111"/>
      <c r="F1102" s="111"/>
    </row>
    <row r="1103" spans="1:6" s="56" customFormat="1" x14ac:dyDescent="0.35">
      <c r="A1103" s="111"/>
      <c r="B1103" s="112"/>
      <c r="C1103" s="111"/>
      <c r="F1103" s="111"/>
    </row>
    <row r="1104" spans="1:6" s="56" customFormat="1" x14ac:dyDescent="0.35">
      <c r="A1104" s="111"/>
      <c r="B1104" s="112"/>
      <c r="C1104" s="111"/>
      <c r="F1104" s="111"/>
    </row>
    <row r="1105" spans="1:6" s="56" customFormat="1" x14ac:dyDescent="0.35">
      <c r="A1105" s="111"/>
      <c r="B1105" s="112"/>
      <c r="C1105" s="111"/>
      <c r="F1105" s="111"/>
    </row>
    <row r="1106" spans="1:6" s="56" customFormat="1" x14ac:dyDescent="0.35">
      <c r="A1106" s="111"/>
      <c r="B1106" s="112"/>
      <c r="C1106" s="111"/>
      <c r="F1106" s="111"/>
    </row>
    <row r="1107" spans="1:6" s="56" customFormat="1" x14ac:dyDescent="0.35">
      <c r="A1107" s="111"/>
      <c r="B1107" s="112"/>
      <c r="C1107" s="111"/>
      <c r="F1107" s="111"/>
    </row>
    <row r="1108" spans="1:6" s="56" customFormat="1" x14ac:dyDescent="0.35">
      <c r="A1108" s="111"/>
      <c r="B1108" s="112"/>
      <c r="C1108" s="111"/>
      <c r="F1108" s="111"/>
    </row>
    <row r="1109" spans="1:6" s="56" customFormat="1" x14ac:dyDescent="0.35">
      <c r="A1109" s="111"/>
      <c r="B1109" s="112"/>
      <c r="C1109" s="111"/>
      <c r="F1109" s="111"/>
    </row>
    <row r="1110" spans="1:6" s="56" customFormat="1" x14ac:dyDescent="0.35">
      <c r="A1110" s="111"/>
      <c r="B1110" s="112"/>
      <c r="C1110" s="111"/>
      <c r="F1110" s="111"/>
    </row>
    <row r="1111" spans="1:6" s="56" customFormat="1" x14ac:dyDescent="0.35">
      <c r="A1111" s="111"/>
      <c r="B1111" s="112"/>
      <c r="C1111" s="111"/>
      <c r="F1111" s="111"/>
    </row>
    <row r="1112" spans="1:6" s="56" customFormat="1" x14ac:dyDescent="0.35">
      <c r="A1112" s="111"/>
      <c r="B1112" s="112"/>
      <c r="C1112" s="111"/>
      <c r="F1112" s="111"/>
    </row>
    <row r="1113" spans="1:6" s="56" customFormat="1" x14ac:dyDescent="0.35">
      <c r="A1113" s="111"/>
      <c r="B1113" s="112"/>
      <c r="C1113" s="111"/>
      <c r="F1113" s="111"/>
    </row>
    <row r="1114" spans="1:6" s="56" customFormat="1" x14ac:dyDescent="0.35">
      <c r="A1114" s="111"/>
      <c r="B1114" s="112"/>
      <c r="C1114" s="111"/>
      <c r="F1114" s="111"/>
    </row>
    <row r="1115" spans="1:6" s="56" customFormat="1" x14ac:dyDescent="0.35">
      <c r="A1115" s="111"/>
      <c r="B1115" s="112"/>
      <c r="C1115" s="111"/>
      <c r="F1115" s="111"/>
    </row>
    <row r="1116" spans="1:6" s="56" customFormat="1" x14ac:dyDescent="0.35">
      <c r="A1116" s="111"/>
      <c r="B1116" s="112"/>
      <c r="C1116" s="111"/>
      <c r="F1116" s="111"/>
    </row>
    <row r="1117" spans="1:6" s="56" customFormat="1" x14ac:dyDescent="0.35">
      <c r="A1117" s="111"/>
      <c r="B1117" s="112"/>
      <c r="C1117" s="111"/>
      <c r="F1117" s="111"/>
    </row>
    <row r="1118" spans="1:6" s="56" customFormat="1" x14ac:dyDescent="0.35">
      <c r="A1118" s="111"/>
      <c r="B1118" s="112"/>
      <c r="C1118" s="111"/>
      <c r="F1118" s="111"/>
    </row>
    <row r="1119" spans="1:6" s="56" customFormat="1" x14ac:dyDescent="0.35">
      <c r="A1119" s="111"/>
      <c r="B1119" s="112"/>
      <c r="C1119" s="111"/>
      <c r="F1119" s="111"/>
    </row>
    <row r="1120" spans="1:6" s="56" customFormat="1" x14ac:dyDescent="0.35">
      <c r="A1120" s="111"/>
      <c r="B1120" s="112"/>
      <c r="C1120" s="111"/>
      <c r="F1120" s="111"/>
    </row>
    <row r="1121" spans="1:6" s="56" customFormat="1" x14ac:dyDescent="0.35">
      <c r="A1121" s="111"/>
      <c r="B1121" s="112"/>
      <c r="C1121" s="111"/>
      <c r="F1121" s="111"/>
    </row>
    <row r="1122" spans="1:6" s="56" customFormat="1" x14ac:dyDescent="0.35">
      <c r="A1122" s="111"/>
      <c r="B1122" s="112"/>
      <c r="C1122" s="111"/>
      <c r="F1122" s="111"/>
    </row>
    <row r="1123" spans="1:6" s="56" customFormat="1" x14ac:dyDescent="0.35">
      <c r="A1123" s="111"/>
      <c r="B1123" s="112"/>
      <c r="C1123" s="111"/>
      <c r="F1123" s="111"/>
    </row>
    <row r="1124" spans="1:6" s="56" customFormat="1" x14ac:dyDescent="0.35">
      <c r="A1124" s="111"/>
      <c r="B1124" s="112"/>
      <c r="C1124" s="111"/>
      <c r="F1124" s="111"/>
    </row>
    <row r="1125" spans="1:6" s="56" customFormat="1" x14ac:dyDescent="0.35">
      <c r="A1125" s="111"/>
      <c r="B1125" s="112"/>
      <c r="C1125" s="111"/>
      <c r="F1125" s="111"/>
    </row>
    <row r="1126" spans="1:6" s="56" customFormat="1" x14ac:dyDescent="0.35">
      <c r="A1126" s="111"/>
      <c r="B1126" s="112"/>
      <c r="C1126" s="111"/>
      <c r="F1126" s="111"/>
    </row>
    <row r="1127" spans="1:6" s="56" customFormat="1" x14ac:dyDescent="0.35">
      <c r="A1127" s="111"/>
      <c r="B1127" s="112"/>
      <c r="C1127" s="111"/>
      <c r="F1127" s="111"/>
    </row>
    <row r="1128" spans="1:6" s="56" customFormat="1" x14ac:dyDescent="0.35">
      <c r="A1128" s="111"/>
      <c r="B1128" s="112"/>
      <c r="C1128" s="111"/>
      <c r="F1128" s="111"/>
    </row>
    <row r="1129" spans="1:6" s="56" customFormat="1" x14ac:dyDescent="0.35">
      <c r="A1129" s="111"/>
      <c r="B1129" s="112"/>
      <c r="C1129" s="111"/>
      <c r="F1129" s="111"/>
    </row>
    <row r="1130" spans="1:6" s="56" customFormat="1" x14ac:dyDescent="0.35">
      <c r="A1130" s="111"/>
      <c r="B1130" s="112"/>
      <c r="C1130" s="111"/>
      <c r="F1130" s="111"/>
    </row>
    <row r="1131" spans="1:6" s="56" customFormat="1" x14ac:dyDescent="0.35">
      <c r="A1131" s="111"/>
      <c r="B1131" s="112"/>
      <c r="C1131" s="111"/>
      <c r="F1131" s="111"/>
    </row>
    <row r="1132" spans="1:6" s="56" customFormat="1" x14ac:dyDescent="0.35">
      <c r="A1132" s="111"/>
      <c r="B1132" s="112"/>
      <c r="C1132" s="111"/>
      <c r="F1132" s="111"/>
    </row>
    <row r="1133" spans="1:6" s="56" customFormat="1" x14ac:dyDescent="0.35">
      <c r="A1133" s="111"/>
      <c r="B1133" s="112"/>
      <c r="C1133" s="111"/>
      <c r="F1133" s="111"/>
    </row>
    <row r="1134" spans="1:6" s="56" customFormat="1" x14ac:dyDescent="0.35">
      <c r="A1134" s="111"/>
      <c r="B1134" s="112"/>
      <c r="C1134" s="111"/>
      <c r="F1134" s="111"/>
    </row>
    <row r="1135" spans="1:6" s="56" customFormat="1" x14ac:dyDescent="0.35">
      <c r="A1135" s="111"/>
      <c r="B1135" s="112"/>
      <c r="C1135" s="111"/>
      <c r="F1135" s="111"/>
    </row>
    <row r="1136" spans="1:6" s="56" customFormat="1" x14ac:dyDescent="0.35">
      <c r="A1136" s="111"/>
      <c r="B1136" s="112"/>
      <c r="C1136" s="111"/>
      <c r="F1136" s="111"/>
    </row>
    <row r="1137" spans="1:6" s="56" customFormat="1" x14ac:dyDescent="0.35">
      <c r="A1137" s="111"/>
      <c r="B1137" s="112"/>
      <c r="C1137" s="111"/>
      <c r="F1137" s="111"/>
    </row>
    <row r="1138" spans="1:6" s="56" customFormat="1" x14ac:dyDescent="0.35">
      <c r="A1138" s="111"/>
      <c r="B1138" s="112"/>
      <c r="C1138" s="111"/>
      <c r="F1138" s="111"/>
    </row>
    <row r="1139" spans="1:6" s="56" customFormat="1" x14ac:dyDescent="0.35">
      <c r="A1139" s="111"/>
      <c r="B1139" s="112"/>
      <c r="C1139" s="111"/>
      <c r="F1139" s="111"/>
    </row>
    <row r="1140" spans="1:6" s="56" customFormat="1" x14ac:dyDescent="0.35">
      <c r="A1140" s="111"/>
      <c r="B1140" s="112"/>
      <c r="C1140" s="111"/>
      <c r="F1140" s="111"/>
    </row>
    <row r="1141" spans="1:6" s="56" customFormat="1" x14ac:dyDescent="0.35">
      <c r="A1141" s="111"/>
      <c r="B1141" s="112"/>
      <c r="C1141" s="111"/>
      <c r="F1141" s="111"/>
    </row>
    <row r="1142" spans="1:6" s="56" customFormat="1" x14ac:dyDescent="0.35">
      <c r="A1142" s="111"/>
      <c r="B1142" s="112"/>
      <c r="C1142" s="111"/>
      <c r="F1142" s="111"/>
    </row>
    <row r="1143" spans="1:6" s="56" customFormat="1" x14ac:dyDescent="0.35">
      <c r="A1143" s="111"/>
      <c r="B1143" s="112"/>
      <c r="C1143" s="111"/>
      <c r="F1143" s="111"/>
    </row>
    <row r="1144" spans="1:6" s="56" customFormat="1" x14ac:dyDescent="0.35">
      <c r="A1144" s="111"/>
      <c r="B1144" s="112"/>
      <c r="C1144" s="111"/>
      <c r="F1144" s="111"/>
    </row>
    <row r="1145" spans="1:6" s="56" customFormat="1" x14ac:dyDescent="0.35">
      <c r="A1145" s="111"/>
      <c r="B1145" s="112"/>
      <c r="C1145" s="111"/>
      <c r="F1145" s="111"/>
    </row>
    <row r="1146" spans="1:6" s="56" customFormat="1" x14ac:dyDescent="0.35">
      <c r="A1146" s="111"/>
      <c r="B1146" s="112"/>
      <c r="C1146" s="111"/>
      <c r="F1146" s="111"/>
    </row>
    <row r="1147" spans="1:6" s="56" customFormat="1" x14ac:dyDescent="0.35">
      <c r="A1147" s="111"/>
      <c r="B1147" s="112"/>
      <c r="C1147" s="111"/>
      <c r="F1147" s="111"/>
    </row>
    <row r="1148" spans="1:6" s="56" customFormat="1" x14ac:dyDescent="0.35">
      <c r="A1148" s="111"/>
      <c r="B1148" s="112"/>
      <c r="C1148" s="111"/>
      <c r="F1148" s="111"/>
    </row>
    <row r="1149" spans="1:6" s="56" customFormat="1" x14ac:dyDescent="0.35">
      <c r="A1149" s="111"/>
      <c r="B1149" s="112"/>
      <c r="C1149" s="111"/>
      <c r="F1149" s="111"/>
    </row>
    <row r="1150" spans="1:6" s="56" customFormat="1" x14ac:dyDescent="0.35">
      <c r="A1150" s="111"/>
      <c r="B1150" s="112"/>
      <c r="C1150" s="111"/>
      <c r="F1150" s="111"/>
    </row>
    <row r="1151" spans="1:6" s="56" customFormat="1" x14ac:dyDescent="0.35">
      <c r="A1151" s="111"/>
      <c r="B1151" s="112"/>
      <c r="C1151" s="111"/>
      <c r="F1151" s="111"/>
    </row>
    <row r="1152" spans="1:6" s="56" customFormat="1" x14ac:dyDescent="0.35">
      <c r="A1152" s="111"/>
      <c r="B1152" s="112"/>
      <c r="C1152" s="111"/>
      <c r="F1152" s="111"/>
    </row>
    <row r="1153" spans="1:6" s="56" customFormat="1" x14ac:dyDescent="0.35">
      <c r="A1153" s="111"/>
      <c r="B1153" s="112"/>
      <c r="C1153" s="111"/>
      <c r="F1153" s="111"/>
    </row>
    <row r="1154" spans="1:6" s="56" customFormat="1" x14ac:dyDescent="0.35">
      <c r="A1154" s="111"/>
      <c r="B1154" s="112"/>
      <c r="C1154" s="111"/>
      <c r="F1154" s="111"/>
    </row>
    <row r="1155" spans="1:6" s="56" customFormat="1" x14ac:dyDescent="0.35">
      <c r="A1155" s="111"/>
      <c r="B1155" s="112"/>
      <c r="C1155" s="111"/>
      <c r="F1155" s="111"/>
    </row>
    <row r="1156" spans="1:6" s="56" customFormat="1" x14ac:dyDescent="0.35">
      <c r="A1156" s="111"/>
      <c r="B1156" s="112"/>
      <c r="C1156" s="111"/>
      <c r="F1156" s="111"/>
    </row>
    <row r="1157" spans="1:6" s="56" customFormat="1" x14ac:dyDescent="0.35">
      <c r="A1157" s="111"/>
      <c r="B1157" s="112"/>
      <c r="C1157" s="111"/>
      <c r="F1157" s="111"/>
    </row>
    <row r="1158" spans="1:6" s="56" customFormat="1" x14ac:dyDescent="0.35">
      <c r="A1158" s="111"/>
      <c r="B1158" s="112"/>
      <c r="C1158" s="111"/>
      <c r="F1158" s="111"/>
    </row>
    <row r="1159" spans="1:6" s="56" customFormat="1" x14ac:dyDescent="0.35">
      <c r="A1159" s="111"/>
      <c r="B1159" s="112"/>
      <c r="C1159" s="111"/>
      <c r="F1159" s="111"/>
    </row>
    <row r="1160" spans="1:6" s="56" customFormat="1" x14ac:dyDescent="0.35">
      <c r="A1160" s="111"/>
      <c r="B1160" s="112"/>
      <c r="C1160" s="111"/>
      <c r="F1160" s="111"/>
    </row>
    <row r="1161" spans="1:6" s="56" customFormat="1" x14ac:dyDescent="0.35">
      <c r="A1161" s="111"/>
      <c r="B1161" s="112"/>
      <c r="C1161" s="111"/>
      <c r="F1161" s="111"/>
    </row>
    <row r="1162" spans="1:6" s="56" customFormat="1" x14ac:dyDescent="0.35">
      <c r="A1162" s="111"/>
      <c r="B1162" s="112"/>
      <c r="C1162" s="111"/>
      <c r="F1162" s="111"/>
    </row>
    <row r="1163" spans="1:6" s="56" customFormat="1" x14ac:dyDescent="0.35">
      <c r="A1163" s="111"/>
      <c r="B1163" s="112"/>
      <c r="C1163" s="111"/>
      <c r="F1163" s="111"/>
    </row>
    <row r="1164" spans="1:6" s="56" customFormat="1" x14ac:dyDescent="0.35">
      <c r="A1164" s="111"/>
      <c r="B1164" s="112"/>
      <c r="C1164" s="111"/>
      <c r="F1164" s="111"/>
    </row>
    <row r="1165" spans="1:6" s="56" customFormat="1" x14ac:dyDescent="0.35">
      <c r="A1165" s="111"/>
      <c r="B1165" s="112"/>
      <c r="C1165" s="111"/>
      <c r="F1165" s="111"/>
    </row>
    <row r="1166" spans="1:6" s="56" customFormat="1" x14ac:dyDescent="0.35">
      <c r="A1166" s="111"/>
      <c r="B1166" s="112"/>
      <c r="C1166" s="111"/>
      <c r="F1166" s="111"/>
    </row>
    <row r="1167" spans="1:6" s="56" customFormat="1" x14ac:dyDescent="0.35">
      <c r="A1167" s="111"/>
      <c r="B1167" s="112"/>
      <c r="C1167" s="111"/>
      <c r="F1167" s="111"/>
    </row>
    <row r="1168" spans="1:6" s="56" customFormat="1" x14ac:dyDescent="0.35">
      <c r="A1168" s="111"/>
      <c r="B1168" s="112"/>
      <c r="C1168" s="111"/>
      <c r="F1168" s="111"/>
    </row>
    <row r="1169" spans="1:6" s="56" customFormat="1" x14ac:dyDescent="0.35">
      <c r="A1169" s="111"/>
      <c r="B1169" s="112"/>
      <c r="C1169" s="111"/>
      <c r="F1169" s="111"/>
    </row>
    <row r="1170" spans="1:6" s="56" customFormat="1" x14ac:dyDescent="0.35">
      <c r="A1170" s="111"/>
      <c r="B1170" s="112"/>
      <c r="C1170" s="111"/>
      <c r="F1170" s="111"/>
    </row>
    <row r="1171" spans="1:6" s="56" customFormat="1" x14ac:dyDescent="0.35">
      <c r="A1171" s="111"/>
      <c r="B1171" s="112"/>
      <c r="C1171" s="111"/>
      <c r="F1171" s="111"/>
    </row>
    <row r="1172" spans="1:6" s="56" customFormat="1" x14ac:dyDescent="0.35">
      <c r="A1172" s="111"/>
      <c r="B1172" s="112"/>
      <c r="C1172" s="111"/>
      <c r="F1172" s="111"/>
    </row>
    <row r="1173" spans="1:6" s="56" customFormat="1" x14ac:dyDescent="0.35">
      <c r="A1173" s="111"/>
      <c r="B1173" s="112"/>
      <c r="C1173" s="111"/>
      <c r="F1173" s="111"/>
    </row>
    <row r="1174" spans="1:6" s="56" customFormat="1" x14ac:dyDescent="0.35">
      <c r="A1174" s="111"/>
      <c r="B1174" s="112"/>
      <c r="C1174" s="111"/>
      <c r="F1174" s="111"/>
    </row>
    <row r="1175" spans="1:6" s="56" customFormat="1" x14ac:dyDescent="0.35">
      <c r="A1175" s="111"/>
      <c r="B1175" s="112"/>
      <c r="C1175" s="111"/>
      <c r="F1175" s="111"/>
    </row>
    <row r="1176" spans="1:6" s="56" customFormat="1" x14ac:dyDescent="0.35">
      <c r="A1176" s="111"/>
      <c r="B1176" s="112"/>
      <c r="C1176" s="111"/>
      <c r="F1176" s="111"/>
    </row>
    <row r="1177" spans="1:6" s="56" customFormat="1" x14ac:dyDescent="0.35">
      <c r="A1177" s="111"/>
      <c r="B1177" s="112"/>
      <c r="C1177" s="111"/>
      <c r="F1177" s="111"/>
    </row>
    <row r="1178" spans="1:6" s="56" customFormat="1" x14ac:dyDescent="0.35">
      <c r="A1178" s="111"/>
      <c r="B1178" s="112"/>
      <c r="C1178" s="111"/>
      <c r="F1178" s="111"/>
    </row>
    <row r="1179" spans="1:6" s="56" customFormat="1" x14ac:dyDescent="0.35">
      <c r="A1179" s="111"/>
      <c r="B1179" s="112"/>
      <c r="C1179" s="111"/>
      <c r="F1179" s="111"/>
    </row>
    <row r="1180" spans="1:6" s="56" customFormat="1" x14ac:dyDescent="0.35">
      <c r="A1180" s="111"/>
      <c r="B1180" s="112"/>
      <c r="C1180" s="111"/>
      <c r="F1180" s="111"/>
    </row>
    <row r="1181" spans="1:6" s="56" customFormat="1" x14ac:dyDescent="0.35">
      <c r="A1181" s="111"/>
      <c r="B1181" s="112"/>
      <c r="C1181" s="111"/>
      <c r="F1181" s="111"/>
    </row>
    <row r="1182" spans="1:6" s="56" customFormat="1" x14ac:dyDescent="0.35">
      <c r="A1182" s="111"/>
      <c r="B1182" s="112"/>
      <c r="C1182" s="111"/>
      <c r="F1182" s="111"/>
    </row>
    <row r="1183" spans="1:6" s="56" customFormat="1" x14ac:dyDescent="0.35">
      <c r="A1183" s="111"/>
      <c r="B1183" s="112"/>
      <c r="C1183" s="111"/>
      <c r="F1183" s="111"/>
    </row>
    <row r="1184" spans="1:6" s="56" customFormat="1" x14ac:dyDescent="0.35">
      <c r="A1184" s="111"/>
      <c r="B1184" s="112"/>
      <c r="C1184" s="111"/>
      <c r="F1184" s="111"/>
    </row>
    <row r="1185" spans="1:6" s="56" customFormat="1" x14ac:dyDescent="0.35">
      <c r="A1185" s="111"/>
      <c r="B1185" s="112"/>
      <c r="C1185" s="111"/>
      <c r="F1185" s="111"/>
    </row>
    <row r="1186" spans="1:6" s="56" customFormat="1" x14ac:dyDescent="0.35">
      <c r="A1186" s="111"/>
      <c r="B1186" s="112"/>
      <c r="C1186" s="111"/>
      <c r="F1186" s="111"/>
    </row>
    <row r="1187" spans="1:6" s="56" customFormat="1" x14ac:dyDescent="0.35">
      <c r="A1187" s="111"/>
      <c r="B1187" s="112"/>
      <c r="C1187" s="111"/>
      <c r="F1187" s="111"/>
    </row>
    <row r="1188" spans="1:6" s="56" customFormat="1" x14ac:dyDescent="0.35">
      <c r="A1188" s="111"/>
      <c r="B1188" s="112"/>
      <c r="C1188" s="111"/>
      <c r="F1188" s="111"/>
    </row>
    <row r="1189" spans="1:6" s="56" customFormat="1" x14ac:dyDescent="0.35">
      <c r="A1189" s="111"/>
      <c r="B1189" s="112"/>
      <c r="C1189" s="111"/>
      <c r="F1189" s="111"/>
    </row>
    <row r="1190" spans="1:6" s="56" customFormat="1" x14ac:dyDescent="0.35">
      <c r="A1190" s="111"/>
      <c r="B1190" s="112"/>
      <c r="C1190" s="111"/>
      <c r="F1190" s="111"/>
    </row>
    <row r="1191" spans="1:6" s="56" customFormat="1" x14ac:dyDescent="0.35">
      <c r="A1191" s="111"/>
      <c r="B1191" s="112"/>
      <c r="C1191" s="111"/>
      <c r="F1191" s="111"/>
    </row>
    <row r="1192" spans="1:6" s="56" customFormat="1" x14ac:dyDescent="0.35">
      <c r="A1192" s="111"/>
      <c r="B1192" s="112"/>
      <c r="C1192" s="111"/>
      <c r="F1192" s="111"/>
    </row>
    <row r="1193" spans="1:6" s="56" customFormat="1" x14ac:dyDescent="0.35">
      <c r="A1193" s="111"/>
      <c r="B1193" s="112"/>
      <c r="C1193" s="111"/>
      <c r="F1193" s="111"/>
    </row>
    <row r="1194" spans="1:6" s="56" customFormat="1" x14ac:dyDescent="0.35">
      <c r="A1194" s="111"/>
      <c r="B1194" s="112"/>
      <c r="C1194" s="111"/>
      <c r="F1194" s="111"/>
    </row>
    <row r="1195" spans="1:6" s="56" customFormat="1" x14ac:dyDescent="0.35">
      <c r="A1195" s="111"/>
      <c r="B1195" s="112"/>
      <c r="C1195" s="111"/>
      <c r="F1195" s="111"/>
    </row>
    <row r="1196" spans="1:6" s="56" customFormat="1" x14ac:dyDescent="0.35">
      <c r="A1196" s="111"/>
      <c r="B1196" s="112"/>
      <c r="C1196" s="111"/>
      <c r="F1196" s="111"/>
    </row>
    <row r="1197" spans="1:6" s="56" customFormat="1" x14ac:dyDescent="0.35">
      <c r="A1197" s="111"/>
      <c r="B1197" s="112"/>
      <c r="C1197" s="111"/>
      <c r="F1197" s="111"/>
    </row>
    <row r="1198" spans="1:6" s="56" customFormat="1" x14ac:dyDescent="0.35">
      <c r="A1198" s="111"/>
      <c r="B1198" s="112"/>
      <c r="C1198" s="111"/>
      <c r="F1198" s="111"/>
    </row>
    <row r="1199" spans="1:6" s="56" customFormat="1" x14ac:dyDescent="0.35">
      <c r="A1199" s="111"/>
      <c r="B1199" s="112"/>
      <c r="C1199" s="111"/>
      <c r="F1199" s="111"/>
    </row>
    <row r="1200" spans="1:6" s="56" customFormat="1" x14ac:dyDescent="0.35">
      <c r="A1200" s="111"/>
      <c r="B1200" s="112"/>
      <c r="C1200" s="111"/>
      <c r="F1200" s="111"/>
    </row>
    <row r="1201" spans="1:6" s="56" customFormat="1" x14ac:dyDescent="0.35">
      <c r="A1201" s="111"/>
      <c r="B1201" s="112"/>
      <c r="C1201" s="111"/>
      <c r="F1201" s="111"/>
    </row>
    <row r="1202" spans="1:6" s="56" customFormat="1" x14ac:dyDescent="0.35">
      <c r="A1202" s="111"/>
      <c r="B1202" s="112"/>
      <c r="C1202" s="111"/>
      <c r="F1202" s="111"/>
    </row>
    <row r="1203" spans="1:6" s="56" customFormat="1" x14ac:dyDescent="0.35">
      <c r="A1203" s="111"/>
      <c r="B1203" s="112"/>
      <c r="C1203" s="111"/>
      <c r="F1203" s="111"/>
    </row>
    <row r="1204" spans="1:6" s="56" customFormat="1" x14ac:dyDescent="0.35">
      <c r="A1204" s="111"/>
      <c r="B1204" s="112"/>
      <c r="C1204" s="111"/>
      <c r="F1204" s="111"/>
    </row>
    <row r="1205" spans="1:6" s="56" customFormat="1" x14ac:dyDescent="0.35">
      <c r="A1205" s="111"/>
      <c r="B1205" s="112"/>
      <c r="C1205" s="111"/>
      <c r="F1205" s="111"/>
    </row>
    <row r="1206" spans="1:6" s="56" customFormat="1" x14ac:dyDescent="0.35">
      <c r="A1206" s="111"/>
      <c r="B1206" s="112"/>
      <c r="C1206" s="111"/>
      <c r="F1206" s="111"/>
    </row>
    <row r="1207" spans="1:6" s="56" customFormat="1" x14ac:dyDescent="0.35">
      <c r="A1207" s="111"/>
      <c r="B1207" s="112"/>
      <c r="C1207" s="111"/>
      <c r="F1207" s="111"/>
    </row>
    <row r="1208" spans="1:6" s="56" customFormat="1" x14ac:dyDescent="0.35">
      <c r="A1208" s="111"/>
      <c r="B1208" s="112"/>
      <c r="C1208" s="111"/>
      <c r="F1208" s="111"/>
    </row>
    <row r="1209" spans="1:6" s="56" customFormat="1" x14ac:dyDescent="0.35">
      <c r="A1209" s="111"/>
      <c r="B1209" s="112"/>
      <c r="C1209" s="111"/>
      <c r="F1209" s="111"/>
    </row>
    <row r="1210" spans="1:6" s="56" customFormat="1" x14ac:dyDescent="0.35">
      <c r="A1210" s="111"/>
      <c r="B1210" s="112"/>
      <c r="C1210" s="111"/>
      <c r="F1210" s="111"/>
    </row>
    <row r="1211" spans="1:6" s="56" customFormat="1" x14ac:dyDescent="0.35">
      <c r="A1211" s="111"/>
      <c r="B1211" s="112"/>
      <c r="C1211" s="111"/>
      <c r="F1211" s="111"/>
    </row>
    <row r="1212" spans="1:6" s="56" customFormat="1" x14ac:dyDescent="0.35">
      <c r="A1212" s="111"/>
      <c r="B1212" s="112"/>
      <c r="C1212" s="111"/>
      <c r="F1212" s="111"/>
    </row>
    <row r="1213" spans="1:6" s="56" customFormat="1" x14ac:dyDescent="0.35">
      <c r="A1213" s="111"/>
      <c r="B1213" s="112"/>
      <c r="C1213" s="111"/>
      <c r="F1213" s="111"/>
    </row>
    <row r="1214" spans="1:6" s="56" customFormat="1" x14ac:dyDescent="0.35">
      <c r="A1214" s="111"/>
      <c r="B1214" s="112"/>
      <c r="C1214" s="111"/>
      <c r="F1214" s="111"/>
    </row>
    <row r="1215" spans="1:6" s="56" customFormat="1" x14ac:dyDescent="0.35">
      <c r="A1215" s="111"/>
      <c r="B1215" s="112"/>
      <c r="C1215" s="111"/>
      <c r="F1215" s="111"/>
    </row>
    <row r="1216" spans="1:6" s="56" customFormat="1" x14ac:dyDescent="0.35">
      <c r="A1216" s="111"/>
      <c r="B1216" s="112"/>
      <c r="C1216" s="111"/>
      <c r="F1216" s="111"/>
    </row>
    <row r="1217" spans="1:6" s="56" customFormat="1" x14ac:dyDescent="0.35">
      <c r="A1217" s="111"/>
      <c r="B1217" s="112"/>
      <c r="C1217" s="111"/>
      <c r="F1217" s="111"/>
    </row>
    <row r="1218" spans="1:6" s="56" customFormat="1" x14ac:dyDescent="0.35">
      <c r="A1218" s="111"/>
      <c r="B1218" s="112"/>
      <c r="C1218" s="111"/>
      <c r="F1218" s="111"/>
    </row>
    <row r="1219" spans="1:6" s="56" customFormat="1" x14ac:dyDescent="0.35">
      <c r="A1219" s="111"/>
      <c r="B1219" s="112"/>
      <c r="C1219" s="111"/>
      <c r="F1219" s="111"/>
    </row>
    <row r="1220" spans="1:6" s="56" customFormat="1" x14ac:dyDescent="0.35">
      <c r="A1220" s="111"/>
      <c r="B1220" s="112"/>
      <c r="C1220" s="111"/>
      <c r="F1220" s="111"/>
    </row>
    <row r="1221" spans="1:6" s="56" customFormat="1" x14ac:dyDescent="0.35">
      <c r="A1221" s="111"/>
      <c r="B1221" s="112"/>
      <c r="C1221" s="111"/>
      <c r="F1221" s="111"/>
    </row>
    <row r="1222" spans="1:6" s="56" customFormat="1" x14ac:dyDescent="0.35">
      <c r="A1222" s="111"/>
      <c r="B1222" s="112"/>
      <c r="C1222" s="111"/>
      <c r="F1222" s="111"/>
    </row>
    <row r="1223" spans="1:6" s="56" customFormat="1" x14ac:dyDescent="0.35">
      <c r="A1223" s="111"/>
      <c r="B1223" s="112"/>
      <c r="C1223" s="111"/>
      <c r="F1223" s="111"/>
    </row>
    <row r="1224" spans="1:6" s="56" customFormat="1" x14ac:dyDescent="0.35">
      <c r="A1224" s="111"/>
      <c r="B1224" s="112"/>
      <c r="C1224" s="111"/>
      <c r="F1224" s="111"/>
    </row>
    <row r="1225" spans="1:6" s="56" customFormat="1" x14ac:dyDescent="0.35">
      <c r="A1225" s="111"/>
      <c r="B1225" s="112"/>
      <c r="C1225" s="111"/>
      <c r="F1225" s="111"/>
    </row>
    <row r="1226" spans="1:6" s="56" customFormat="1" x14ac:dyDescent="0.35">
      <c r="A1226" s="111"/>
      <c r="B1226" s="112"/>
      <c r="C1226" s="111"/>
      <c r="F1226" s="111"/>
    </row>
    <row r="1227" spans="1:6" s="56" customFormat="1" x14ac:dyDescent="0.35">
      <c r="A1227" s="111"/>
      <c r="B1227" s="112"/>
      <c r="C1227" s="111"/>
      <c r="F1227" s="111"/>
    </row>
    <row r="1228" spans="1:6" s="56" customFormat="1" x14ac:dyDescent="0.35">
      <c r="A1228" s="111"/>
      <c r="B1228" s="112"/>
      <c r="C1228" s="111"/>
      <c r="F1228" s="111"/>
    </row>
    <row r="1229" spans="1:6" s="56" customFormat="1" x14ac:dyDescent="0.35">
      <c r="A1229" s="111"/>
      <c r="B1229" s="112"/>
      <c r="C1229" s="111"/>
      <c r="F1229" s="111"/>
    </row>
    <row r="1230" spans="1:6" s="56" customFormat="1" x14ac:dyDescent="0.35">
      <c r="A1230" s="111"/>
      <c r="B1230" s="112"/>
      <c r="C1230" s="111"/>
      <c r="F1230" s="111"/>
    </row>
    <row r="1231" spans="1:6" s="56" customFormat="1" x14ac:dyDescent="0.35">
      <c r="A1231" s="111"/>
      <c r="B1231" s="112"/>
      <c r="C1231" s="111"/>
      <c r="F1231" s="111"/>
    </row>
    <row r="1232" spans="1:6" s="56" customFormat="1" x14ac:dyDescent="0.35">
      <c r="A1232" s="111"/>
      <c r="B1232" s="112"/>
      <c r="C1232" s="111"/>
      <c r="F1232" s="111"/>
    </row>
    <row r="1233" spans="1:6" s="56" customFormat="1" x14ac:dyDescent="0.35">
      <c r="A1233" s="111"/>
      <c r="B1233" s="112"/>
      <c r="C1233" s="111"/>
      <c r="F1233" s="111"/>
    </row>
    <row r="1234" spans="1:6" s="56" customFormat="1" x14ac:dyDescent="0.35">
      <c r="A1234" s="111"/>
      <c r="B1234" s="112"/>
      <c r="C1234" s="111"/>
      <c r="F1234" s="111"/>
    </row>
    <row r="1235" spans="1:6" s="56" customFormat="1" x14ac:dyDescent="0.35">
      <c r="A1235" s="111"/>
      <c r="B1235" s="112"/>
      <c r="C1235" s="111"/>
      <c r="F1235" s="111"/>
    </row>
    <row r="1236" spans="1:6" s="56" customFormat="1" x14ac:dyDescent="0.35">
      <c r="A1236" s="111"/>
      <c r="B1236" s="112"/>
      <c r="C1236" s="111"/>
      <c r="F1236" s="111"/>
    </row>
    <row r="1237" spans="1:6" s="56" customFormat="1" x14ac:dyDescent="0.35">
      <c r="A1237" s="111"/>
      <c r="B1237" s="112"/>
      <c r="C1237" s="111"/>
      <c r="F1237" s="111"/>
    </row>
    <row r="1238" spans="1:6" s="56" customFormat="1" x14ac:dyDescent="0.35">
      <c r="A1238" s="111"/>
      <c r="B1238" s="112"/>
      <c r="C1238" s="111"/>
      <c r="F1238" s="111"/>
    </row>
    <row r="1239" spans="1:6" s="56" customFormat="1" x14ac:dyDescent="0.35">
      <c r="A1239" s="111"/>
      <c r="B1239" s="112"/>
      <c r="C1239" s="111"/>
      <c r="F1239" s="111"/>
    </row>
    <row r="1240" spans="1:6" s="56" customFormat="1" x14ac:dyDescent="0.35">
      <c r="A1240" s="111"/>
      <c r="B1240" s="112"/>
      <c r="C1240" s="111"/>
      <c r="F1240" s="111"/>
    </row>
    <row r="1241" spans="1:6" s="56" customFormat="1" x14ac:dyDescent="0.35">
      <c r="A1241" s="111"/>
      <c r="B1241" s="112"/>
      <c r="C1241" s="111"/>
      <c r="F1241" s="111"/>
    </row>
    <row r="1242" spans="1:6" s="56" customFormat="1" x14ac:dyDescent="0.35">
      <c r="A1242" s="111"/>
      <c r="B1242" s="112"/>
      <c r="C1242" s="111"/>
      <c r="F1242" s="111"/>
    </row>
    <row r="1243" spans="1:6" s="56" customFormat="1" x14ac:dyDescent="0.35">
      <c r="A1243" s="111"/>
      <c r="B1243" s="112"/>
      <c r="C1243" s="111"/>
      <c r="F1243" s="111"/>
    </row>
    <row r="1244" spans="1:6" s="56" customFormat="1" x14ac:dyDescent="0.35">
      <c r="A1244" s="111"/>
      <c r="B1244" s="112"/>
      <c r="C1244" s="111"/>
      <c r="F1244" s="111"/>
    </row>
    <row r="1245" spans="1:6" s="56" customFormat="1" x14ac:dyDescent="0.35">
      <c r="A1245" s="111"/>
      <c r="B1245" s="112"/>
      <c r="C1245" s="111"/>
      <c r="F1245" s="111"/>
    </row>
    <row r="1246" spans="1:6" s="56" customFormat="1" x14ac:dyDescent="0.35">
      <c r="A1246" s="111"/>
      <c r="B1246" s="112"/>
      <c r="C1246" s="111"/>
      <c r="F1246" s="111"/>
    </row>
    <row r="1247" spans="1:6" s="56" customFormat="1" x14ac:dyDescent="0.35">
      <c r="A1247" s="111"/>
      <c r="B1247" s="112"/>
      <c r="C1247" s="111"/>
      <c r="F1247" s="111"/>
    </row>
    <row r="1248" spans="1:6" s="56" customFormat="1" x14ac:dyDescent="0.35">
      <c r="A1248" s="111"/>
      <c r="B1248" s="112"/>
      <c r="C1248" s="111"/>
      <c r="F1248" s="111"/>
    </row>
    <row r="1249" spans="1:6" s="56" customFormat="1" x14ac:dyDescent="0.35">
      <c r="A1249" s="111"/>
      <c r="B1249" s="112"/>
      <c r="C1249" s="111"/>
      <c r="F1249" s="111"/>
    </row>
    <row r="1250" spans="1:6" s="56" customFormat="1" x14ac:dyDescent="0.35">
      <c r="A1250" s="111"/>
      <c r="B1250" s="112"/>
      <c r="C1250" s="111"/>
      <c r="F1250" s="111"/>
    </row>
    <row r="1251" spans="1:6" s="56" customFormat="1" x14ac:dyDescent="0.35">
      <c r="A1251" s="111"/>
      <c r="B1251" s="112"/>
      <c r="C1251" s="111"/>
      <c r="F1251" s="111"/>
    </row>
    <row r="1252" spans="1:6" s="56" customFormat="1" x14ac:dyDescent="0.35">
      <c r="A1252" s="111"/>
      <c r="B1252" s="112"/>
      <c r="C1252" s="111"/>
      <c r="F1252" s="111"/>
    </row>
    <row r="1253" spans="1:6" s="56" customFormat="1" x14ac:dyDescent="0.35">
      <c r="A1253" s="111"/>
      <c r="B1253" s="112"/>
      <c r="C1253" s="111"/>
      <c r="F1253" s="111"/>
    </row>
    <row r="1254" spans="1:6" s="56" customFormat="1" x14ac:dyDescent="0.35">
      <c r="A1254" s="111"/>
      <c r="B1254" s="112"/>
      <c r="C1254" s="111"/>
      <c r="F1254" s="111"/>
    </row>
    <row r="1255" spans="1:6" s="56" customFormat="1" x14ac:dyDescent="0.35">
      <c r="A1255" s="111"/>
      <c r="B1255" s="112"/>
      <c r="C1255" s="111"/>
      <c r="F1255" s="111"/>
    </row>
    <row r="1256" spans="1:6" s="56" customFormat="1" x14ac:dyDescent="0.35">
      <c r="A1256" s="111"/>
      <c r="B1256" s="112"/>
      <c r="C1256" s="111"/>
      <c r="F1256" s="111"/>
    </row>
    <row r="1257" spans="1:6" s="56" customFormat="1" x14ac:dyDescent="0.35">
      <c r="A1257" s="111"/>
      <c r="B1257" s="112"/>
      <c r="C1257" s="111"/>
      <c r="F1257" s="111"/>
    </row>
    <row r="1258" spans="1:6" s="56" customFormat="1" x14ac:dyDescent="0.35">
      <c r="A1258" s="111"/>
      <c r="B1258" s="112"/>
      <c r="C1258" s="111"/>
      <c r="F1258" s="111"/>
    </row>
    <row r="1259" spans="1:6" s="56" customFormat="1" x14ac:dyDescent="0.35">
      <c r="A1259" s="111"/>
      <c r="B1259" s="112"/>
      <c r="C1259" s="111"/>
      <c r="F1259" s="111"/>
    </row>
    <row r="1260" spans="1:6" s="56" customFormat="1" x14ac:dyDescent="0.35">
      <c r="A1260" s="111"/>
      <c r="B1260" s="112"/>
      <c r="C1260" s="111"/>
      <c r="F1260" s="111"/>
    </row>
    <row r="1261" spans="1:6" s="56" customFormat="1" x14ac:dyDescent="0.35">
      <c r="A1261" s="111"/>
      <c r="B1261" s="112"/>
      <c r="C1261" s="111"/>
      <c r="F1261" s="111"/>
    </row>
    <row r="1262" spans="1:6" s="56" customFormat="1" x14ac:dyDescent="0.35">
      <c r="A1262" s="111"/>
      <c r="B1262" s="112"/>
      <c r="C1262" s="111"/>
      <c r="F1262" s="111"/>
    </row>
    <row r="1263" spans="1:6" s="56" customFormat="1" x14ac:dyDescent="0.35">
      <c r="A1263" s="111"/>
      <c r="B1263" s="112"/>
      <c r="C1263" s="111"/>
      <c r="F1263" s="111"/>
    </row>
    <row r="1264" spans="1:6" s="56" customFormat="1" x14ac:dyDescent="0.35">
      <c r="A1264" s="111"/>
      <c r="B1264" s="112"/>
      <c r="C1264" s="111"/>
      <c r="F1264" s="111"/>
    </row>
    <row r="1265" spans="1:6" s="56" customFormat="1" x14ac:dyDescent="0.35">
      <c r="A1265" s="111"/>
      <c r="B1265" s="112"/>
      <c r="C1265" s="111"/>
      <c r="F1265" s="111"/>
    </row>
    <row r="1266" spans="1:6" s="56" customFormat="1" x14ac:dyDescent="0.35">
      <c r="A1266" s="111"/>
      <c r="B1266" s="112"/>
      <c r="C1266" s="111"/>
      <c r="F1266" s="111"/>
    </row>
    <row r="1267" spans="1:6" s="56" customFormat="1" x14ac:dyDescent="0.35">
      <c r="A1267" s="111"/>
      <c r="B1267" s="112"/>
      <c r="C1267" s="111"/>
      <c r="F1267" s="111"/>
    </row>
    <row r="1268" spans="1:6" s="56" customFormat="1" x14ac:dyDescent="0.35">
      <c r="A1268" s="111"/>
      <c r="B1268" s="112"/>
      <c r="C1268" s="111"/>
      <c r="F1268" s="111"/>
    </row>
    <row r="1269" spans="1:6" s="56" customFormat="1" x14ac:dyDescent="0.35">
      <c r="A1269" s="111"/>
      <c r="B1269" s="112"/>
      <c r="C1269" s="111"/>
      <c r="F1269" s="111"/>
    </row>
    <row r="1270" spans="1:6" s="56" customFormat="1" x14ac:dyDescent="0.35">
      <c r="A1270" s="111"/>
      <c r="B1270" s="112"/>
      <c r="C1270" s="111"/>
      <c r="F1270" s="111"/>
    </row>
    <row r="1271" spans="1:6" s="56" customFormat="1" x14ac:dyDescent="0.35">
      <c r="A1271" s="111"/>
      <c r="B1271" s="112"/>
      <c r="C1271" s="111"/>
      <c r="F1271" s="111"/>
    </row>
    <row r="1272" spans="1:6" s="56" customFormat="1" x14ac:dyDescent="0.35">
      <c r="A1272" s="111"/>
      <c r="B1272" s="112"/>
      <c r="C1272" s="111"/>
      <c r="F1272" s="111"/>
    </row>
    <row r="1273" spans="1:6" s="56" customFormat="1" x14ac:dyDescent="0.35">
      <c r="A1273" s="111"/>
      <c r="B1273" s="112"/>
      <c r="C1273" s="111"/>
      <c r="F1273" s="111"/>
    </row>
    <row r="1274" spans="1:6" s="56" customFormat="1" x14ac:dyDescent="0.35">
      <c r="A1274" s="111"/>
      <c r="B1274" s="112"/>
      <c r="C1274" s="111"/>
      <c r="F1274" s="111"/>
    </row>
    <row r="1275" spans="1:6" s="56" customFormat="1" x14ac:dyDescent="0.35">
      <c r="A1275" s="111"/>
      <c r="B1275" s="112"/>
      <c r="C1275" s="111"/>
      <c r="F1275" s="111"/>
    </row>
    <row r="1276" spans="1:6" s="56" customFormat="1" x14ac:dyDescent="0.35">
      <c r="A1276" s="111"/>
      <c r="B1276" s="112"/>
      <c r="C1276" s="111"/>
      <c r="F1276" s="111"/>
    </row>
    <row r="1277" spans="1:6" s="56" customFormat="1" x14ac:dyDescent="0.35">
      <c r="A1277" s="111"/>
      <c r="B1277" s="112"/>
      <c r="C1277" s="111"/>
      <c r="F1277" s="111"/>
    </row>
    <row r="1278" spans="1:6" s="56" customFormat="1" x14ac:dyDescent="0.35">
      <c r="A1278" s="111"/>
      <c r="B1278" s="112"/>
      <c r="C1278" s="111"/>
      <c r="F1278" s="111"/>
    </row>
    <row r="1279" spans="1:6" s="56" customFormat="1" x14ac:dyDescent="0.35">
      <c r="A1279" s="111"/>
      <c r="B1279" s="112"/>
      <c r="C1279" s="111"/>
      <c r="F1279" s="111"/>
    </row>
    <row r="1280" spans="1:6" s="56" customFormat="1" x14ac:dyDescent="0.35">
      <c r="A1280" s="111"/>
      <c r="B1280" s="112"/>
      <c r="C1280" s="111"/>
      <c r="F1280" s="111"/>
    </row>
    <row r="1281" spans="1:6" s="56" customFormat="1" x14ac:dyDescent="0.35">
      <c r="A1281" s="111"/>
      <c r="B1281" s="112"/>
      <c r="C1281" s="111"/>
      <c r="F1281" s="111"/>
    </row>
    <row r="1282" spans="1:6" s="56" customFormat="1" x14ac:dyDescent="0.35">
      <c r="A1282" s="111"/>
      <c r="B1282" s="112"/>
      <c r="C1282" s="111"/>
      <c r="F1282" s="111"/>
    </row>
    <row r="1283" spans="1:6" s="56" customFormat="1" x14ac:dyDescent="0.35">
      <c r="A1283" s="111"/>
      <c r="B1283" s="112"/>
      <c r="C1283" s="111"/>
      <c r="F1283" s="111"/>
    </row>
    <row r="1284" spans="1:6" s="56" customFormat="1" x14ac:dyDescent="0.35">
      <c r="A1284" s="111"/>
      <c r="B1284" s="112"/>
      <c r="C1284" s="111"/>
      <c r="F1284" s="111"/>
    </row>
    <row r="1285" spans="1:6" s="56" customFormat="1" x14ac:dyDescent="0.35">
      <c r="A1285" s="111"/>
      <c r="B1285" s="112"/>
      <c r="C1285" s="111"/>
      <c r="F1285" s="111"/>
    </row>
    <row r="1286" spans="1:6" s="56" customFormat="1" x14ac:dyDescent="0.35">
      <c r="A1286" s="111"/>
      <c r="B1286" s="112"/>
      <c r="C1286" s="111"/>
      <c r="F1286" s="111"/>
    </row>
    <row r="1287" spans="1:6" s="56" customFormat="1" x14ac:dyDescent="0.35">
      <c r="A1287" s="111"/>
      <c r="B1287" s="112"/>
      <c r="C1287" s="111"/>
      <c r="F1287" s="111"/>
    </row>
    <row r="1288" spans="1:6" s="56" customFormat="1" x14ac:dyDescent="0.35">
      <c r="A1288" s="111"/>
      <c r="B1288" s="112"/>
      <c r="C1288" s="111"/>
      <c r="F1288" s="111"/>
    </row>
    <row r="1289" spans="1:6" s="56" customFormat="1" x14ac:dyDescent="0.35">
      <c r="A1289" s="111"/>
      <c r="B1289" s="112"/>
      <c r="C1289" s="111"/>
      <c r="F1289" s="111"/>
    </row>
    <row r="1290" spans="1:6" s="56" customFormat="1" x14ac:dyDescent="0.35">
      <c r="A1290" s="111"/>
      <c r="B1290" s="112"/>
      <c r="C1290" s="111"/>
      <c r="F1290" s="111"/>
    </row>
    <row r="1291" spans="1:6" s="56" customFormat="1" x14ac:dyDescent="0.35">
      <c r="A1291" s="111"/>
      <c r="B1291" s="112"/>
      <c r="C1291" s="111"/>
      <c r="F1291" s="111"/>
    </row>
    <row r="1292" spans="1:6" s="56" customFormat="1" x14ac:dyDescent="0.35">
      <c r="A1292" s="111"/>
      <c r="B1292" s="112"/>
      <c r="C1292" s="111"/>
      <c r="F1292" s="111"/>
    </row>
    <row r="1293" spans="1:6" s="56" customFormat="1" x14ac:dyDescent="0.35">
      <c r="A1293" s="111"/>
      <c r="B1293" s="112"/>
      <c r="C1293" s="111"/>
      <c r="F1293" s="111"/>
    </row>
    <row r="1294" spans="1:6" s="56" customFormat="1" x14ac:dyDescent="0.35">
      <c r="A1294" s="111"/>
      <c r="B1294" s="112"/>
      <c r="C1294" s="111"/>
      <c r="F1294" s="111"/>
    </row>
    <row r="1295" spans="1:6" s="56" customFormat="1" x14ac:dyDescent="0.35">
      <c r="A1295" s="111"/>
      <c r="B1295" s="112"/>
      <c r="C1295" s="111"/>
      <c r="F1295" s="111"/>
    </row>
    <row r="1296" spans="1:6" s="56" customFormat="1" x14ac:dyDescent="0.35">
      <c r="A1296" s="111"/>
      <c r="B1296" s="112"/>
      <c r="C1296" s="111"/>
      <c r="F1296" s="111"/>
    </row>
    <row r="1297" spans="1:6" s="56" customFormat="1" x14ac:dyDescent="0.35">
      <c r="A1297" s="111"/>
      <c r="B1297" s="112"/>
      <c r="C1297" s="111"/>
      <c r="F1297" s="111"/>
    </row>
    <row r="1298" spans="1:6" s="56" customFormat="1" x14ac:dyDescent="0.35">
      <c r="A1298" s="111"/>
      <c r="B1298" s="112"/>
      <c r="C1298" s="111"/>
      <c r="F1298" s="111"/>
    </row>
    <row r="1299" spans="1:6" s="56" customFormat="1" x14ac:dyDescent="0.35">
      <c r="A1299" s="111"/>
      <c r="B1299" s="112"/>
      <c r="C1299" s="111"/>
      <c r="F1299" s="111"/>
    </row>
    <row r="1300" spans="1:6" s="56" customFormat="1" x14ac:dyDescent="0.35">
      <c r="A1300" s="111"/>
      <c r="B1300" s="112"/>
      <c r="C1300" s="111"/>
      <c r="F1300" s="111"/>
    </row>
    <row r="1301" spans="1:6" s="56" customFormat="1" x14ac:dyDescent="0.35">
      <c r="A1301" s="111"/>
      <c r="B1301" s="112"/>
      <c r="C1301" s="111"/>
      <c r="F1301" s="111"/>
    </row>
    <row r="1302" spans="1:6" s="56" customFormat="1" x14ac:dyDescent="0.35">
      <c r="A1302" s="111"/>
      <c r="B1302" s="112"/>
      <c r="C1302" s="111"/>
      <c r="F1302" s="111"/>
    </row>
    <row r="1303" spans="1:6" s="56" customFormat="1" x14ac:dyDescent="0.35">
      <c r="A1303" s="111"/>
      <c r="B1303" s="112"/>
      <c r="C1303" s="111"/>
      <c r="F1303" s="111"/>
    </row>
    <row r="1304" spans="1:6" s="56" customFormat="1" x14ac:dyDescent="0.35">
      <c r="A1304" s="111"/>
      <c r="B1304" s="112"/>
      <c r="C1304" s="111"/>
      <c r="F1304" s="111"/>
    </row>
    <row r="1305" spans="1:6" s="56" customFormat="1" x14ac:dyDescent="0.35">
      <c r="A1305" s="111"/>
      <c r="B1305" s="112"/>
      <c r="C1305" s="111"/>
      <c r="F1305" s="111"/>
    </row>
    <row r="1306" spans="1:6" s="56" customFormat="1" x14ac:dyDescent="0.35">
      <c r="A1306" s="111"/>
      <c r="B1306" s="112"/>
      <c r="C1306" s="111"/>
      <c r="F1306" s="111"/>
    </row>
    <row r="1307" spans="1:6" s="56" customFormat="1" x14ac:dyDescent="0.35">
      <c r="A1307" s="111"/>
      <c r="B1307" s="112"/>
      <c r="C1307" s="111"/>
      <c r="F1307" s="111"/>
    </row>
    <row r="1308" spans="1:6" s="56" customFormat="1" x14ac:dyDescent="0.35">
      <c r="A1308" s="111"/>
      <c r="B1308" s="112"/>
      <c r="C1308" s="111"/>
      <c r="F1308" s="111"/>
    </row>
    <row r="1309" spans="1:6" s="56" customFormat="1" x14ac:dyDescent="0.35">
      <c r="A1309" s="111"/>
      <c r="B1309" s="112"/>
      <c r="C1309" s="111"/>
      <c r="F1309" s="111"/>
    </row>
    <row r="1310" spans="1:6" s="56" customFormat="1" x14ac:dyDescent="0.35">
      <c r="A1310" s="111"/>
      <c r="B1310" s="112"/>
      <c r="C1310" s="111"/>
      <c r="F1310" s="111"/>
    </row>
    <row r="1311" spans="1:6" s="56" customFormat="1" x14ac:dyDescent="0.35">
      <c r="A1311" s="111"/>
      <c r="B1311" s="112"/>
      <c r="C1311" s="111"/>
      <c r="F1311" s="111"/>
    </row>
    <row r="1312" spans="1:6" s="56" customFormat="1" x14ac:dyDescent="0.35">
      <c r="A1312" s="111"/>
      <c r="B1312" s="112"/>
      <c r="C1312" s="111"/>
      <c r="F1312" s="111"/>
    </row>
    <row r="1313" spans="1:6" s="56" customFormat="1" x14ac:dyDescent="0.35">
      <c r="A1313" s="111"/>
      <c r="B1313" s="112"/>
      <c r="C1313" s="111"/>
      <c r="F1313" s="111"/>
    </row>
    <row r="1314" spans="1:6" s="56" customFormat="1" x14ac:dyDescent="0.35">
      <c r="A1314" s="111"/>
      <c r="B1314" s="112"/>
      <c r="C1314" s="111"/>
      <c r="F1314" s="111"/>
    </row>
    <row r="1315" spans="1:6" s="56" customFormat="1" x14ac:dyDescent="0.35">
      <c r="A1315" s="111"/>
      <c r="B1315" s="112"/>
      <c r="C1315" s="111"/>
      <c r="F1315" s="111"/>
    </row>
    <row r="1316" spans="1:6" s="56" customFormat="1" x14ac:dyDescent="0.35">
      <c r="A1316" s="111"/>
      <c r="B1316" s="112"/>
      <c r="C1316" s="111"/>
      <c r="F1316" s="111"/>
    </row>
    <row r="1317" spans="1:6" s="56" customFormat="1" x14ac:dyDescent="0.35">
      <c r="A1317" s="111"/>
      <c r="B1317" s="112"/>
      <c r="C1317" s="111"/>
      <c r="F1317" s="111"/>
    </row>
    <row r="1318" spans="1:6" s="56" customFormat="1" x14ac:dyDescent="0.35">
      <c r="A1318" s="111"/>
      <c r="B1318" s="112"/>
      <c r="C1318" s="111"/>
      <c r="F1318" s="111"/>
    </row>
    <row r="1319" spans="1:6" s="56" customFormat="1" x14ac:dyDescent="0.35">
      <c r="A1319" s="111"/>
      <c r="B1319" s="112"/>
      <c r="C1319" s="111"/>
      <c r="F1319" s="111"/>
    </row>
    <row r="1320" spans="1:6" s="56" customFormat="1" x14ac:dyDescent="0.35">
      <c r="A1320" s="111"/>
      <c r="B1320" s="112"/>
      <c r="C1320" s="111"/>
      <c r="F1320" s="111"/>
    </row>
    <row r="1321" spans="1:6" s="56" customFormat="1" x14ac:dyDescent="0.35">
      <c r="A1321" s="111"/>
      <c r="B1321" s="112"/>
      <c r="C1321" s="111"/>
      <c r="F1321" s="111"/>
    </row>
    <row r="1322" spans="1:6" s="56" customFormat="1" x14ac:dyDescent="0.35">
      <c r="A1322" s="111"/>
      <c r="B1322" s="112"/>
      <c r="C1322" s="111"/>
      <c r="F1322" s="111"/>
    </row>
    <row r="1323" spans="1:6" s="56" customFormat="1" x14ac:dyDescent="0.35">
      <c r="A1323" s="111"/>
      <c r="B1323" s="112"/>
      <c r="C1323" s="111"/>
      <c r="F1323" s="111"/>
    </row>
    <row r="1324" spans="1:6" s="56" customFormat="1" x14ac:dyDescent="0.35">
      <c r="A1324" s="111"/>
      <c r="B1324" s="112"/>
      <c r="C1324" s="111"/>
      <c r="F1324" s="111"/>
    </row>
    <row r="1325" spans="1:6" s="56" customFormat="1" x14ac:dyDescent="0.35">
      <c r="A1325" s="111"/>
      <c r="B1325" s="112"/>
      <c r="C1325" s="111"/>
      <c r="F1325" s="111"/>
    </row>
    <row r="1326" spans="1:6" s="56" customFormat="1" x14ac:dyDescent="0.35">
      <c r="A1326" s="111"/>
      <c r="B1326" s="112"/>
      <c r="C1326" s="111"/>
      <c r="F1326" s="111"/>
    </row>
    <row r="1327" spans="1:6" s="56" customFormat="1" x14ac:dyDescent="0.35">
      <c r="A1327" s="111"/>
      <c r="B1327" s="112"/>
      <c r="C1327" s="111"/>
      <c r="F1327" s="111"/>
    </row>
    <row r="1328" spans="1:6" s="56" customFormat="1" x14ac:dyDescent="0.35">
      <c r="A1328" s="111"/>
      <c r="B1328" s="112"/>
      <c r="C1328" s="111"/>
      <c r="F1328" s="111"/>
    </row>
    <row r="1329" spans="1:6" s="56" customFormat="1" x14ac:dyDescent="0.35">
      <c r="A1329" s="111"/>
      <c r="B1329" s="112"/>
      <c r="C1329" s="111"/>
      <c r="F1329" s="111"/>
    </row>
    <row r="1330" spans="1:6" s="56" customFormat="1" x14ac:dyDescent="0.35">
      <c r="A1330" s="111"/>
      <c r="B1330" s="112"/>
      <c r="C1330" s="111"/>
      <c r="F1330" s="111"/>
    </row>
    <row r="1331" spans="1:6" s="56" customFormat="1" x14ac:dyDescent="0.35">
      <c r="A1331" s="111"/>
      <c r="B1331" s="112"/>
      <c r="C1331" s="111"/>
      <c r="F1331" s="111"/>
    </row>
    <row r="1332" spans="1:6" s="56" customFormat="1" x14ac:dyDescent="0.35">
      <c r="A1332" s="111"/>
      <c r="B1332" s="112"/>
      <c r="C1332" s="111"/>
      <c r="F1332" s="111"/>
    </row>
    <row r="1333" spans="1:6" s="56" customFormat="1" x14ac:dyDescent="0.35">
      <c r="A1333" s="111"/>
      <c r="B1333" s="112"/>
      <c r="C1333" s="111"/>
      <c r="F1333" s="111"/>
    </row>
    <row r="1334" spans="1:6" s="56" customFormat="1" x14ac:dyDescent="0.35">
      <c r="A1334" s="111"/>
      <c r="B1334" s="112"/>
      <c r="C1334" s="111"/>
      <c r="F1334" s="111"/>
    </row>
    <row r="1335" spans="1:6" s="56" customFormat="1" x14ac:dyDescent="0.35">
      <c r="A1335" s="111"/>
      <c r="B1335" s="112"/>
      <c r="C1335" s="111"/>
      <c r="F1335" s="111"/>
    </row>
    <row r="1336" spans="1:6" s="56" customFormat="1" x14ac:dyDescent="0.35">
      <c r="A1336" s="111"/>
      <c r="B1336" s="112"/>
      <c r="C1336" s="111"/>
      <c r="F1336" s="111"/>
    </row>
    <row r="1337" spans="1:6" s="56" customFormat="1" x14ac:dyDescent="0.35">
      <c r="A1337" s="111"/>
      <c r="B1337" s="112"/>
      <c r="C1337" s="111"/>
      <c r="F1337" s="111"/>
    </row>
    <row r="1338" spans="1:6" s="56" customFormat="1" x14ac:dyDescent="0.35">
      <c r="A1338" s="111"/>
      <c r="B1338" s="112"/>
      <c r="C1338" s="111"/>
      <c r="F1338" s="111"/>
    </row>
    <row r="1339" spans="1:6" s="56" customFormat="1" x14ac:dyDescent="0.35">
      <c r="A1339" s="111"/>
      <c r="B1339" s="112"/>
      <c r="C1339" s="111"/>
      <c r="F1339" s="111"/>
    </row>
    <row r="1340" spans="1:6" s="56" customFormat="1" x14ac:dyDescent="0.35">
      <c r="A1340" s="111"/>
      <c r="B1340" s="112"/>
      <c r="C1340" s="111"/>
      <c r="F1340" s="111"/>
    </row>
    <row r="1341" spans="1:6" s="56" customFormat="1" x14ac:dyDescent="0.35">
      <c r="A1341" s="111"/>
      <c r="B1341" s="112"/>
      <c r="C1341" s="111"/>
      <c r="F1341" s="111"/>
    </row>
    <row r="1342" spans="1:6" s="56" customFormat="1" x14ac:dyDescent="0.35">
      <c r="A1342" s="111"/>
      <c r="B1342" s="112"/>
      <c r="C1342" s="111"/>
      <c r="F1342" s="111"/>
    </row>
    <row r="1343" spans="1:6" s="56" customFormat="1" x14ac:dyDescent="0.35">
      <c r="A1343" s="111"/>
      <c r="B1343" s="112"/>
      <c r="C1343" s="111"/>
      <c r="F1343" s="111"/>
    </row>
    <row r="1344" spans="1:6" s="56" customFormat="1" x14ac:dyDescent="0.35">
      <c r="A1344" s="111"/>
      <c r="B1344" s="112"/>
      <c r="C1344" s="111"/>
      <c r="F1344" s="111"/>
    </row>
    <row r="1345" spans="1:6" s="56" customFormat="1" x14ac:dyDescent="0.35">
      <c r="A1345" s="111"/>
      <c r="B1345" s="112"/>
      <c r="C1345" s="111"/>
      <c r="F1345" s="111"/>
    </row>
    <row r="1346" spans="1:6" s="56" customFormat="1" x14ac:dyDescent="0.35">
      <c r="A1346" s="111"/>
      <c r="B1346" s="112"/>
      <c r="C1346" s="111"/>
      <c r="F1346" s="111"/>
    </row>
    <row r="1347" spans="1:6" s="56" customFormat="1" x14ac:dyDescent="0.35">
      <c r="A1347" s="111"/>
      <c r="B1347" s="112"/>
      <c r="C1347" s="111"/>
      <c r="F1347" s="111"/>
    </row>
    <row r="1348" spans="1:6" s="56" customFormat="1" x14ac:dyDescent="0.35">
      <c r="A1348" s="111"/>
      <c r="B1348" s="112"/>
      <c r="C1348" s="111"/>
      <c r="F1348" s="111"/>
    </row>
    <row r="1349" spans="1:6" s="56" customFormat="1" x14ac:dyDescent="0.35">
      <c r="A1349" s="111"/>
      <c r="B1349" s="112"/>
      <c r="C1349" s="111"/>
      <c r="F1349" s="111"/>
    </row>
    <row r="1350" spans="1:6" s="56" customFormat="1" x14ac:dyDescent="0.35">
      <c r="A1350" s="111"/>
      <c r="B1350" s="112"/>
      <c r="C1350" s="111"/>
      <c r="F1350" s="111"/>
    </row>
    <row r="1351" spans="1:6" s="56" customFormat="1" x14ac:dyDescent="0.35">
      <c r="A1351" s="111"/>
      <c r="B1351" s="112"/>
      <c r="C1351" s="111"/>
      <c r="F1351" s="111"/>
    </row>
    <row r="1352" spans="1:6" s="56" customFormat="1" x14ac:dyDescent="0.35">
      <c r="A1352" s="111"/>
      <c r="B1352" s="112"/>
      <c r="C1352" s="111"/>
      <c r="F1352" s="111"/>
    </row>
    <row r="1353" spans="1:6" s="56" customFormat="1" x14ac:dyDescent="0.35">
      <c r="A1353" s="111"/>
      <c r="B1353" s="112"/>
      <c r="C1353" s="111"/>
      <c r="F1353" s="111"/>
    </row>
    <row r="1354" spans="1:6" s="56" customFormat="1" x14ac:dyDescent="0.35">
      <c r="A1354" s="111"/>
      <c r="B1354" s="112"/>
      <c r="C1354" s="111"/>
      <c r="F1354" s="111"/>
    </row>
    <row r="1355" spans="1:6" s="56" customFormat="1" x14ac:dyDescent="0.35">
      <c r="A1355" s="111"/>
      <c r="B1355" s="112"/>
      <c r="C1355" s="111"/>
      <c r="F1355" s="111"/>
    </row>
    <row r="1356" spans="1:6" s="56" customFormat="1" x14ac:dyDescent="0.35">
      <c r="A1356" s="111"/>
      <c r="B1356" s="112"/>
      <c r="C1356" s="111"/>
      <c r="F1356" s="111"/>
    </row>
    <row r="1357" spans="1:6" s="56" customFormat="1" x14ac:dyDescent="0.35">
      <c r="A1357" s="111"/>
      <c r="B1357" s="112"/>
      <c r="C1357" s="111"/>
      <c r="F1357" s="111"/>
    </row>
    <row r="1358" spans="1:6" s="56" customFormat="1" x14ac:dyDescent="0.35">
      <c r="A1358" s="111"/>
      <c r="B1358" s="112"/>
      <c r="C1358" s="111"/>
      <c r="F1358" s="111"/>
    </row>
    <row r="1359" spans="1:6" s="56" customFormat="1" x14ac:dyDescent="0.35">
      <c r="A1359" s="111"/>
      <c r="B1359" s="112"/>
      <c r="C1359" s="111"/>
      <c r="F1359" s="111"/>
    </row>
    <row r="1360" spans="1:6" s="56" customFormat="1" x14ac:dyDescent="0.35">
      <c r="A1360" s="111"/>
      <c r="B1360" s="112"/>
      <c r="C1360" s="111"/>
      <c r="F1360" s="111"/>
    </row>
    <row r="1361" spans="1:6" s="56" customFormat="1" x14ac:dyDescent="0.35">
      <c r="A1361" s="111"/>
      <c r="B1361" s="112"/>
      <c r="C1361" s="111"/>
      <c r="F1361" s="111"/>
    </row>
    <row r="1362" spans="1:6" s="56" customFormat="1" x14ac:dyDescent="0.35">
      <c r="A1362" s="111"/>
      <c r="B1362" s="112"/>
      <c r="C1362" s="111"/>
      <c r="F1362" s="111"/>
    </row>
    <row r="1363" spans="1:6" s="56" customFormat="1" x14ac:dyDescent="0.35">
      <c r="A1363" s="111"/>
      <c r="B1363" s="112"/>
      <c r="C1363" s="111"/>
      <c r="F1363" s="111"/>
    </row>
    <row r="1364" spans="1:6" s="56" customFormat="1" x14ac:dyDescent="0.35">
      <c r="A1364" s="111"/>
      <c r="B1364" s="112"/>
      <c r="C1364" s="111"/>
      <c r="F1364" s="111"/>
    </row>
    <row r="1365" spans="1:6" s="56" customFormat="1" x14ac:dyDescent="0.35">
      <c r="A1365" s="111"/>
      <c r="B1365" s="112"/>
      <c r="C1365" s="111"/>
      <c r="F1365" s="111"/>
    </row>
    <row r="1366" spans="1:6" s="56" customFormat="1" x14ac:dyDescent="0.35">
      <c r="A1366" s="111"/>
      <c r="B1366" s="112"/>
      <c r="C1366" s="111"/>
      <c r="F1366" s="111"/>
    </row>
    <row r="1367" spans="1:6" s="56" customFormat="1" x14ac:dyDescent="0.35">
      <c r="A1367" s="111"/>
      <c r="B1367" s="112"/>
      <c r="C1367" s="111"/>
      <c r="F1367" s="111"/>
    </row>
    <row r="1368" spans="1:6" s="56" customFormat="1" x14ac:dyDescent="0.35">
      <c r="A1368" s="111"/>
      <c r="B1368" s="112"/>
      <c r="C1368" s="111"/>
      <c r="F1368" s="111"/>
    </row>
    <row r="1369" spans="1:6" s="56" customFormat="1" x14ac:dyDescent="0.35">
      <c r="A1369" s="111"/>
      <c r="B1369" s="112"/>
      <c r="C1369" s="111"/>
      <c r="F1369" s="111"/>
    </row>
    <row r="1370" spans="1:6" s="56" customFormat="1" x14ac:dyDescent="0.35">
      <c r="A1370" s="111"/>
      <c r="B1370" s="112"/>
      <c r="C1370" s="111"/>
      <c r="F1370" s="111"/>
    </row>
    <row r="1371" spans="1:6" s="56" customFormat="1" x14ac:dyDescent="0.35">
      <c r="A1371" s="111"/>
      <c r="B1371" s="112"/>
      <c r="C1371" s="111"/>
      <c r="F1371" s="111"/>
    </row>
    <row r="1372" spans="1:6" s="56" customFormat="1" x14ac:dyDescent="0.35">
      <c r="A1372" s="111"/>
      <c r="B1372" s="112"/>
      <c r="C1372" s="111"/>
      <c r="F1372" s="111"/>
    </row>
    <row r="1373" spans="1:6" s="56" customFormat="1" x14ac:dyDescent="0.35">
      <c r="A1373" s="111"/>
      <c r="B1373" s="112"/>
      <c r="C1373" s="111"/>
      <c r="F1373" s="111"/>
    </row>
    <row r="1374" spans="1:6" s="56" customFormat="1" x14ac:dyDescent="0.35">
      <c r="A1374" s="111"/>
      <c r="B1374" s="112"/>
      <c r="C1374" s="111"/>
      <c r="F1374" s="111"/>
    </row>
    <row r="1375" spans="1:6" s="56" customFormat="1" x14ac:dyDescent="0.35">
      <c r="A1375" s="111"/>
      <c r="B1375" s="112"/>
      <c r="C1375" s="111"/>
      <c r="F1375" s="111"/>
    </row>
    <row r="1376" spans="1:6" s="56" customFormat="1" x14ac:dyDescent="0.35">
      <c r="A1376" s="111"/>
      <c r="B1376" s="112"/>
      <c r="C1376" s="111"/>
      <c r="F1376" s="111"/>
    </row>
    <row r="1377" spans="1:6" s="56" customFormat="1" x14ac:dyDescent="0.35">
      <c r="A1377" s="111"/>
      <c r="B1377" s="112"/>
      <c r="C1377" s="111"/>
      <c r="F1377" s="111"/>
    </row>
    <row r="1378" spans="1:6" s="56" customFormat="1" x14ac:dyDescent="0.35">
      <c r="A1378" s="111"/>
      <c r="B1378" s="112"/>
      <c r="C1378" s="111"/>
      <c r="F1378" s="111"/>
    </row>
    <row r="1379" spans="1:6" s="56" customFormat="1" x14ac:dyDescent="0.35">
      <c r="A1379" s="111"/>
      <c r="B1379" s="112"/>
      <c r="C1379" s="111"/>
      <c r="F1379" s="111"/>
    </row>
    <row r="1380" spans="1:6" s="56" customFormat="1" x14ac:dyDescent="0.35">
      <c r="A1380" s="111"/>
      <c r="B1380" s="112"/>
      <c r="C1380" s="111"/>
      <c r="F1380" s="111"/>
    </row>
    <row r="1381" spans="1:6" s="56" customFormat="1" x14ac:dyDescent="0.35">
      <c r="A1381" s="111"/>
      <c r="B1381" s="112"/>
      <c r="C1381" s="111"/>
      <c r="F1381" s="111"/>
    </row>
    <row r="1382" spans="1:6" s="56" customFormat="1" x14ac:dyDescent="0.35">
      <c r="A1382" s="111"/>
      <c r="B1382" s="112"/>
      <c r="C1382" s="111"/>
      <c r="F1382" s="111"/>
    </row>
    <row r="1383" spans="1:6" s="56" customFormat="1" x14ac:dyDescent="0.35">
      <c r="A1383" s="111"/>
      <c r="B1383" s="112"/>
      <c r="C1383" s="111"/>
      <c r="F1383" s="111"/>
    </row>
    <row r="1384" spans="1:6" s="56" customFormat="1" x14ac:dyDescent="0.35">
      <c r="A1384" s="111"/>
      <c r="B1384" s="112"/>
      <c r="C1384" s="111"/>
      <c r="F1384" s="111"/>
    </row>
    <row r="1385" spans="1:6" s="56" customFormat="1" x14ac:dyDescent="0.35">
      <c r="A1385" s="111"/>
      <c r="B1385" s="112"/>
      <c r="C1385" s="111"/>
      <c r="F1385" s="111"/>
    </row>
    <row r="1386" spans="1:6" s="56" customFormat="1" x14ac:dyDescent="0.35">
      <c r="A1386" s="111"/>
      <c r="B1386" s="112"/>
      <c r="C1386" s="111"/>
      <c r="F1386" s="111"/>
    </row>
    <row r="1387" spans="1:6" s="56" customFormat="1" x14ac:dyDescent="0.35">
      <c r="A1387" s="111"/>
      <c r="B1387" s="112"/>
      <c r="C1387" s="111"/>
      <c r="F1387" s="111"/>
    </row>
    <row r="1388" spans="1:6" s="56" customFormat="1" x14ac:dyDescent="0.35">
      <c r="A1388" s="111"/>
      <c r="B1388" s="112"/>
      <c r="C1388" s="111"/>
      <c r="F1388" s="111"/>
    </row>
    <row r="1389" spans="1:6" s="56" customFormat="1" x14ac:dyDescent="0.35">
      <c r="A1389" s="111"/>
      <c r="B1389" s="112"/>
      <c r="C1389" s="111"/>
      <c r="F1389" s="111"/>
    </row>
    <row r="1390" spans="1:6" s="56" customFormat="1" x14ac:dyDescent="0.35">
      <c r="A1390" s="111"/>
      <c r="B1390" s="112"/>
      <c r="C1390" s="111"/>
      <c r="F1390" s="111"/>
    </row>
    <row r="1391" spans="1:6" s="56" customFormat="1" x14ac:dyDescent="0.35">
      <c r="A1391" s="111"/>
      <c r="B1391" s="112"/>
      <c r="C1391" s="111"/>
      <c r="F1391" s="111"/>
    </row>
    <row r="1392" spans="1:6" s="56" customFormat="1" x14ac:dyDescent="0.35">
      <c r="A1392" s="111"/>
      <c r="B1392" s="112"/>
      <c r="C1392" s="111"/>
      <c r="F1392" s="111"/>
    </row>
    <row r="1393" spans="1:6" s="56" customFormat="1" x14ac:dyDescent="0.35">
      <c r="A1393" s="111"/>
      <c r="B1393" s="112"/>
      <c r="C1393" s="111"/>
      <c r="F1393" s="111"/>
    </row>
    <row r="1394" spans="1:6" s="56" customFormat="1" x14ac:dyDescent="0.35">
      <c r="A1394" s="111"/>
      <c r="B1394" s="112"/>
      <c r="C1394" s="111"/>
      <c r="F1394" s="111"/>
    </row>
    <row r="1395" spans="1:6" s="56" customFormat="1" x14ac:dyDescent="0.35">
      <c r="A1395" s="111"/>
      <c r="B1395" s="112"/>
      <c r="C1395" s="111"/>
      <c r="F1395" s="111"/>
    </row>
    <row r="1396" spans="1:6" s="56" customFormat="1" x14ac:dyDescent="0.35">
      <c r="A1396" s="111"/>
      <c r="B1396" s="112"/>
      <c r="C1396" s="111"/>
      <c r="F1396" s="111"/>
    </row>
    <row r="1397" spans="1:6" s="56" customFormat="1" x14ac:dyDescent="0.35">
      <c r="A1397" s="111"/>
      <c r="B1397" s="112"/>
      <c r="C1397" s="111"/>
      <c r="F1397" s="111"/>
    </row>
    <row r="1398" spans="1:6" s="56" customFormat="1" x14ac:dyDescent="0.35">
      <c r="A1398" s="111"/>
      <c r="B1398" s="112"/>
      <c r="C1398" s="111"/>
      <c r="F1398" s="111"/>
    </row>
    <row r="1399" spans="1:6" s="56" customFormat="1" x14ac:dyDescent="0.35">
      <c r="A1399" s="111"/>
      <c r="B1399" s="112"/>
      <c r="C1399" s="111"/>
      <c r="F1399" s="111"/>
    </row>
    <row r="1400" spans="1:6" s="56" customFormat="1" x14ac:dyDescent="0.35">
      <c r="A1400" s="111"/>
      <c r="B1400" s="112"/>
      <c r="C1400" s="111"/>
      <c r="F1400" s="111"/>
    </row>
    <row r="1401" spans="1:6" s="56" customFormat="1" x14ac:dyDescent="0.35">
      <c r="A1401" s="111"/>
      <c r="B1401" s="112"/>
      <c r="C1401" s="111"/>
      <c r="F1401" s="111"/>
    </row>
    <row r="1402" spans="1:6" s="56" customFormat="1" x14ac:dyDescent="0.35">
      <c r="A1402" s="111"/>
      <c r="B1402" s="112"/>
      <c r="C1402" s="111"/>
      <c r="F1402" s="111"/>
    </row>
    <row r="1403" spans="1:6" s="56" customFormat="1" x14ac:dyDescent="0.35">
      <c r="A1403" s="111"/>
      <c r="B1403" s="112"/>
      <c r="C1403" s="111"/>
      <c r="F1403" s="111"/>
    </row>
    <row r="1404" spans="1:6" s="56" customFormat="1" x14ac:dyDescent="0.35">
      <c r="A1404" s="111"/>
      <c r="B1404" s="112"/>
      <c r="C1404" s="111"/>
      <c r="F1404" s="111"/>
    </row>
    <row r="1405" spans="1:6" s="56" customFormat="1" x14ac:dyDescent="0.35">
      <c r="A1405" s="111"/>
      <c r="B1405" s="112"/>
      <c r="C1405" s="111"/>
      <c r="F1405" s="111"/>
    </row>
    <row r="1406" spans="1:6" s="56" customFormat="1" x14ac:dyDescent="0.35">
      <c r="A1406" s="111"/>
      <c r="B1406" s="112"/>
      <c r="C1406" s="111"/>
      <c r="F1406" s="111"/>
    </row>
    <row r="1407" spans="1:6" s="56" customFormat="1" x14ac:dyDescent="0.35">
      <c r="A1407" s="111"/>
      <c r="B1407" s="112"/>
      <c r="C1407" s="111"/>
      <c r="F1407" s="111"/>
    </row>
    <row r="1408" spans="1:6" s="56" customFormat="1" x14ac:dyDescent="0.35">
      <c r="A1408" s="111"/>
      <c r="B1408" s="112"/>
      <c r="C1408" s="111"/>
      <c r="F1408" s="111"/>
    </row>
    <row r="1409" spans="1:6" s="56" customFormat="1" x14ac:dyDescent="0.35">
      <c r="A1409" s="111"/>
      <c r="B1409" s="112"/>
      <c r="C1409" s="111"/>
      <c r="F1409" s="111"/>
    </row>
    <row r="1410" spans="1:6" s="56" customFormat="1" x14ac:dyDescent="0.35">
      <c r="A1410" s="111"/>
      <c r="B1410" s="112"/>
      <c r="C1410" s="111"/>
      <c r="F1410" s="111"/>
    </row>
    <row r="1411" spans="1:6" s="56" customFormat="1" x14ac:dyDescent="0.35">
      <c r="A1411" s="111"/>
      <c r="B1411" s="112"/>
      <c r="C1411" s="111"/>
      <c r="F1411" s="111"/>
    </row>
    <row r="1412" spans="1:6" s="56" customFormat="1" x14ac:dyDescent="0.35">
      <c r="A1412" s="111"/>
      <c r="B1412" s="112"/>
      <c r="C1412" s="111"/>
      <c r="F1412" s="111"/>
    </row>
    <row r="1413" spans="1:6" s="56" customFormat="1" x14ac:dyDescent="0.35">
      <c r="A1413" s="111"/>
      <c r="B1413" s="112"/>
      <c r="C1413" s="111"/>
      <c r="F1413" s="111"/>
    </row>
    <row r="1414" spans="1:6" s="56" customFormat="1" x14ac:dyDescent="0.35">
      <c r="A1414" s="111"/>
      <c r="B1414" s="112"/>
      <c r="C1414" s="111"/>
      <c r="F1414" s="111"/>
    </row>
    <row r="1415" spans="1:6" s="56" customFormat="1" x14ac:dyDescent="0.35">
      <c r="A1415" s="111"/>
      <c r="B1415" s="112"/>
      <c r="C1415" s="111"/>
      <c r="F1415" s="111"/>
    </row>
    <row r="1416" spans="1:6" s="56" customFormat="1" x14ac:dyDescent="0.35">
      <c r="A1416" s="111"/>
      <c r="B1416" s="112"/>
      <c r="C1416" s="111"/>
      <c r="F1416" s="111"/>
    </row>
    <row r="1417" spans="1:6" s="56" customFormat="1" x14ac:dyDescent="0.35">
      <c r="A1417" s="111"/>
      <c r="B1417" s="112"/>
      <c r="C1417" s="111"/>
      <c r="F1417" s="111"/>
    </row>
    <row r="1418" spans="1:6" s="56" customFormat="1" x14ac:dyDescent="0.35">
      <c r="A1418" s="111"/>
      <c r="B1418" s="112"/>
      <c r="C1418" s="111"/>
      <c r="F1418" s="111"/>
    </row>
    <row r="1419" spans="1:6" s="56" customFormat="1" x14ac:dyDescent="0.35">
      <c r="A1419" s="111"/>
      <c r="B1419" s="112"/>
      <c r="C1419" s="111"/>
      <c r="F1419" s="111"/>
    </row>
    <row r="1420" spans="1:6" s="56" customFormat="1" x14ac:dyDescent="0.35">
      <c r="A1420" s="111"/>
      <c r="B1420" s="112"/>
      <c r="C1420" s="111"/>
      <c r="F1420" s="111"/>
    </row>
    <row r="1421" spans="1:6" s="56" customFormat="1" x14ac:dyDescent="0.35">
      <c r="A1421" s="111"/>
      <c r="B1421" s="112"/>
      <c r="C1421" s="111"/>
      <c r="F1421" s="111"/>
    </row>
    <row r="1422" spans="1:6" s="56" customFormat="1" x14ac:dyDescent="0.35">
      <c r="A1422" s="111"/>
      <c r="B1422" s="112"/>
      <c r="C1422" s="111"/>
      <c r="F1422" s="111"/>
    </row>
    <row r="1423" spans="1:6" s="56" customFormat="1" x14ac:dyDescent="0.35">
      <c r="A1423" s="111"/>
      <c r="B1423" s="112"/>
      <c r="C1423" s="111"/>
      <c r="F1423" s="111"/>
    </row>
    <row r="1424" spans="1:6" s="56" customFormat="1" x14ac:dyDescent="0.35">
      <c r="A1424" s="111"/>
      <c r="B1424" s="112"/>
      <c r="C1424" s="111"/>
      <c r="F1424" s="111"/>
    </row>
    <row r="1425" spans="1:6" s="56" customFormat="1" x14ac:dyDescent="0.35">
      <c r="A1425" s="111"/>
      <c r="B1425" s="112"/>
      <c r="C1425" s="111"/>
      <c r="F1425" s="111"/>
    </row>
    <row r="1426" spans="1:6" s="56" customFormat="1" x14ac:dyDescent="0.35">
      <c r="A1426" s="111"/>
      <c r="B1426" s="112"/>
      <c r="C1426" s="111"/>
      <c r="F1426" s="111"/>
    </row>
    <row r="1427" spans="1:6" s="56" customFormat="1" x14ac:dyDescent="0.35">
      <c r="A1427" s="111"/>
      <c r="B1427" s="112"/>
      <c r="C1427" s="111"/>
      <c r="F1427" s="111"/>
    </row>
    <row r="1428" spans="1:6" s="56" customFormat="1" x14ac:dyDescent="0.35">
      <c r="A1428" s="111"/>
      <c r="B1428" s="112"/>
      <c r="C1428" s="111"/>
      <c r="F1428" s="111"/>
    </row>
    <row r="1429" spans="1:6" s="56" customFormat="1" x14ac:dyDescent="0.35">
      <c r="A1429" s="111"/>
      <c r="B1429" s="112"/>
      <c r="C1429" s="111"/>
      <c r="F1429" s="111"/>
    </row>
    <row r="1430" spans="1:6" s="56" customFormat="1" x14ac:dyDescent="0.35">
      <c r="A1430" s="111"/>
      <c r="B1430" s="112"/>
      <c r="C1430" s="111"/>
      <c r="F1430" s="111"/>
    </row>
    <row r="1431" spans="1:6" s="56" customFormat="1" x14ac:dyDescent="0.35">
      <c r="A1431" s="111"/>
      <c r="B1431" s="112"/>
      <c r="C1431" s="111"/>
      <c r="F1431" s="111"/>
    </row>
    <row r="1432" spans="1:6" s="56" customFormat="1" x14ac:dyDescent="0.35">
      <c r="A1432" s="111"/>
      <c r="B1432" s="112"/>
      <c r="C1432" s="111"/>
      <c r="F1432" s="111"/>
    </row>
    <row r="1433" spans="1:6" s="56" customFormat="1" x14ac:dyDescent="0.35">
      <c r="A1433" s="111"/>
      <c r="B1433" s="112"/>
      <c r="C1433" s="111"/>
      <c r="F1433" s="111"/>
    </row>
    <row r="1434" spans="1:6" s="56" customFormat="1" x14ac:dyDescent="0.35">
      <c r="A1434" s="111"/>
      <c r="B1434" s="112"/>
      <c r="C1434" s="111"/>
      <c r="F1434" s="111"/>
    </row>
    <row r="1435" spans="1:6" s="56" customFormat="1" x14ac:dyDescent="0.35">
      <c r="A1435" s="111"/>
      <c r="B1435" s="112"/>
      <c r="C1435" s="111"/>
      <c r="F1435" s="111"/>
    </row>
    <row r="1436" spans="1:6" s="56" customFormat="1" x14ac:dyDescent="0.35">
      <c r="A1436" s="111"/>
      <c r="B1436" s="112"/>
      <c r="C1436" s="111"/>
      <c r="F1436" s="111"/>
    </row>
    <row r="1437" spans="1:6" s="56" customFormat="1" x14ac:dyDescent="0.35">
      <c r="A1437" s="111"/>
      <c r="B1437" s="112"/>
      <c r="C1437" s="111"/>
      <c r="F1437" s="111"/>
    </row>
    <row r="1438" spans="1:6" s="56" customFormat="1" x14ac:dyDescent="0.35">
      <c r="A1438" s="111"/>
      <c r="B1438" s="112"/>
      <c r="C1438" s="111"/>
      <c r="F1438" s="111"/>
    </row>
    <row r="1439" spans="1:6" s="56" customFormat="1" x14ac:dyDescent="0.35">
      <c r="A1439" s="111"/>
      <c r="B1439" s="112"/>
      <c r="C1439" s="111"/>
      <c r="F1439" s="111"/>
    </row>
    <row r="1440" spans="1:6" s="56" customFormat="1" x14ac:dyDescent="0.35">
      <c r="A1440" s="111"/>
      <c r="B1440" s="112"/>
      <c r="C1440" s="111"/>
      <c r="F1440" s="111"/>
    </row>
    <row r="1441" spans="1:6" s="56" customFormat="1" x14ac:dyDescent="0.35">
      <c r="A1441" s="111"/>
      <c r="B1441" s="112"/>
      <c r="C1441" s="111"/>
      <c r="F1441" s="111"/>
    </row>
    <row r="1442" spans="1:6" s="56" customFormat="1" x14ac:dyDescent="0.35">
      <c r="A1442" s="111"/>
      <c r="B1442" s="112"/>
      <c r="C1442" s="111"/>
      <c r="F1442" s="111"/>
    </row>
    <row r="1443" spans="1:6" s="56" customFormat="1" x14ac:dyDescent="0.35">
      <c r="A1443" s="111"/>
      <c r="B1443" s="112"/>
      <c r="C1443" s="111"/>
      <c r="F1443" s="111"/>
    </row>
    <row r="1444" spans="1:6" s="56" customFormat="1" x14ac:dyDescent="0.35">
      <c r="A1444" s="111"/>
      <c r="B1444" s="112"/>
      <c r="C1444" s="111"/>
      <c r="F1444" s="111"/>
    </row>
    <row r="1445" spans="1:6" s="56" customFormat="1" x14ac:dyDescent="0.35">
      <c r="A1445" s="111"/>
      <c r="B1445" s="112"/>
      <c r="C1445" s="111"/>
      <c r="F1445" s="111"/>
    </row>
    <row r="1446" spans="1:6" s="56" customFormat="1" x14ac:dyDescent="0.35">
      <c r="A1446" s="111"/>
      <c r="B1446" s="112"/>
      <c r="C1446" s="111"/>
      <c r="F1446" s="111"/>
    </row>
    <row r="1447" spans="1:6" s="56" customFormat="1" x14ac:dyDescent="0.35">
      <c r="A1447" s="111"/>
      <c r="B1447" s="112"/>
      <c r="C1447" s="111"/>
      <c r="F1447" s="111"/>
    </row>
    <row r="1448" spans="1:6" s="56" customFormat="1" x14ac:dyDescent="0.35">
      <c r="A1448" s="111"/>
      <c r="B1448" s="112"/>
      <c r="C1448" s="111"/>
      <c r="F1448" s="111"/>
    </row>
    <row r="1449" spans="1:6" s="56" customFormat="1" x14ac:dyDescent="0.35">
      <c r="A1449" s="111"/>
      <c r="B1449" s="112"/>
      <c r="C1449" s="111"/>
      <c r="F1449" s="111"/>
    </row>
    <row r="1450" spans="1:6" s="56" customFormat="1" x14ac:dyDescent="0.35">
      <c r="A1450" s="111"/>
      <c r="B1450" s="112"/>
      <c r="C1450" s="111"/>
      <c r="F1450" s="111"/>
    </row>
    <row r="1451" spans="1:6" s="56" customFormat="1" x14ac:dyDescent="0.35">
      <c r="A1451" s="111"/>
      <c r="B1451" s="112"/>
      <c r="C1451" s="111"/>
      <c r="F1451" s="111"/>
    </row>
    <row r="1452" spans="1:6" s="56" customFormat="1" x14ac:dyDescent="0.35">
      <c r="A1452" s="111"/>
      <c r="B1452" s="112"/>
      <c r="C1452" s="111"/>
      <c r="F1452" s="111"/>
    </row>
    <row r="1453" spans="1:6" s="56" customFormat="1" x14ac:dyDescent="0.35">
      <c r="A1453" s="111"/>
      <c r="B1453" s="112"/>
      <c r="C1453" s="111"/>
      <c r="F1453" s="111"/>
    </row>
    <row r="1454" spans="1:6" s="56" customFormat="1" x14ac:dyDescent="0.35">
      <c r="A1454" s="111"/>
      <c r="B1454" s="112"/>
      <c r="C1454" s="111"/>
      <c r="F1454" s="111"/>
    </row>
    <row r="1455" spans="1:6" s="56" customFormat="1" x14ac:dyDescent="0.35">
      <c r="A1455" s="111"/>
      <c r="B1455" s="112"/>
      <c r="C1455" s="111"/>
      <c r="F1455" s="111"/>
    </row>
    <row r="1456" spans="1:6" s="56" customFormat="1" x14ac:dyDescent="0.35">
      <c r="A1456" s="111"/>
      <c r="B1456" s="112"/>
      <c r="C1456" s="111"/>
      <c r="F1456" s="111"/>
    </row>
    <row r="1457" spans="1:6" s="56" customFormat="1" x14ac:dyDescent="0.35">
      <c r="A1457" s="111"/>
      <c r="B1457" s="112"/>
      <c r="C1457" s="111"/>
      <c r="F1457" s="111"/>
    </row>
    <row r="1458" spans="1:6" s="56" customFormat="1" x14ac:dyDescent="0.35">
      <c r="A1458" s="111"/>
      <c r="B1458" s="112"/>
      <c r="C1458" s="111"/>
      <c r="F1458" s="111"/>
    </row>
    <row r="1459" spans="1:6" s="56" customFormat="1" x14ac:dyDescent="0.35">
      <c r="A1459" s="111"/>
      <c r="B1459" s="112"/>
      <c r="C1459" s="111"/>
      <c r="F1459" s="111"/>
    </row>
    <row r="1460" spans="1:6" s="56" customFormat="1" x14ac:dyDescent="0.35">
      <c r="A1460" s="111"/>
      <c r="B1460" s="112"/>
      <c r="C1460" s="111"/>
      <c r="F1460" s="111"/>
    </row>
    <row r="1461" spans="1:6" s="56" customFormat="1" x14ac:dyDescent="0.35">
      <c r="A1461" s="111"/>
      <c r="B1461" s="112"/>
      <c r="C1461" s="111"/>
      <c r="F1461" s="111"/>
    </row>
    <row r="1462" spans="1:6" s="56" customFormat="1" x14ac:dyDescent="0.35">
      <c r="A1462" s="111"/>
      <c r="B1462" s="112"/>
      <c r="C1462" s="111"/>
      <c r="F1462" s="111"/>
    </row>
    <row r="1463" spans="1:6" s="56" customFormat="1" x14ac:dyDescent="0.35">
      <c r="A1463" s="111"/>
      <c r="B1463" s="112"/>
      <c r="C1463" s="111"/>
      <c r="F1463" s="111"/>
    </row>
    <row r="1464" spans="1:6" s="56" customFormat="1" x14ac:dyDescent="0.35">
      <c r="A1464" s="111"/>
      <c r="B1464" s="112"/>
      <c r="C1464" s="111"/>
      <c r="F1464" s="111"/>
    </row>
    <row r="1465" spans="1:6" s="56" customFormat="1" x14ac:dyDescent="0.35">
      <c r="A1465" s="111"/>
      <c r="B1465" s="112"/>
      <c r="C1465" s="111"/>
      <c r="F1465" s="111"/>
    </row>
    <row r="1466" spans="1:6" s="56" customFormat="1" x14ac:dyDescent="0.35">
      <c r="A1466" s="111"/>
      <c r="B1466" s="112"/>
      <c r="C1466" s="111"/>
      <c r="F1466" s="111"/>
    </row>
    <row r="1467" spans="1:6" s="56" customFormat="1" x14ac:dyDescent="0.35">
      <c r="A1467" s="111"/>
      <c r="B1467" s="112"/>
      <c r="C1467" s="111"/>
      <c r="F1467" s="111"/>
    </row>
    <row r="1468" spans="1:6" s="56" customFormat="1" x14ac:dyDescent="0.35">
      <c r="A1468" s="111"/>
      <c r="B1468" s="112"/>
      <c r="C1468" s="111"/>
      <c r="F1468" s="111"/>
    </row>
    <row r="1469" spans="1:6" s="56" customFormat="1" x14ac:dyDescent="0.35">
      <c r="A1469" s="111"/>
      <c r="B1469" s="112"/>
      <c r="C1469" s="111"/>
      <c r="F1469" s="111"/>
    </row>
    <row r="1470" spans="1:6" s="56" customFormat="1" x14ac:dyDescent="0.35">
      <c r="A1470" s="111"/>
      <c r="B1470" s="112"/>
      <c r="C1470" s="111"/>
      <c r="F1470" s="111"/>
    </row>
    <row r="1471" spans="1:6" s="56" customFormat="1" x14ac:dyDescent="0.35">
      <c r="A1471" s="111"/>
      <c r="B1471" s="112"/>
      <c r="C1471" s="111"/>
      <c r="F1471" s="111"/>
    </row>
    <row r="1472" spans="1:6" s="56" customFormat="1" x14ac:dyDescent="0.35">
      <c r="A1472" s="111"/>
      <c r="B1472" s="112"/>
      <c r="C1472" s="111"/>
      <c r="F1472" s="111"/>
    </row>
    <row r="1473" spans="1:6" s="56" customFormat="1" x14ac:dyDescent="0.35">
      <c r="A1473" s="111"/>
      <c r="B1473" s="112"/>
      <c r="C1473" s="111"/>
      <c r="F1473" s="111"/>
    </row>
    <row r="1474" spans="1:6" s="56" customFormat="1" x14ac:dyDescent="0.35">
      <c r="A1474" s="111"/>
      <c r="B1474" s="112"/>
      <c r="C1474" s="111"/>
      <c r="F1474" s="111"/>
    </row>
    <row r="1475" spans="1:6" s="56" customFormat="1" x14ac:dyDescent="0.35">
      <c r="A1475" s="111"/>
      <c r="B1475" s="112"/>
      <c r="C1475" s="111"/>
      <c r="F1475" s="111"/>
    </row>
    <row r="1476" spans="1:6" s="56" customFormat="1" x14ac:dyDescent="0.35">
      <c r="A1476" s="111"/>
      <c r="B1476" s="112"/>
      <c r="C1476" s="111"/>
      <c r="F1476" s="111"/>
    </row>
    <row r="1477" spans="1:6" s="56" customFormat="1" x14ac:dyDescent="0.35">
      <c r="A1477" s="111"/>
      <c r="B1477" s="112"/>
      <c r="C1477" s="111"/>
      <c r="F1477" s="111"/>
    </row>
    <row r="1478" spans="1:6" s="56" customFormat="1" x14ac:dyDescent="0.35">
      <c r="A1478" s="111"/>
      <c r="B1478" s="112"/>
      <c r="C1478" s="111"/>
      <c r="F1478" s="111"/>
    </row>
    <row r="1479" spans="1:6" s="56" customFormat="1" x14ac:dyDescent="0.35">
      <c r="A1479" s="111"/>
      <c r="B1479" s="112"/>
      <c r="C1479" s="111"/>
      <c r="F1479" s="111"/>
    </row>
    <row r="1480" spans="1:6" s="56" customFormat="1" x14ac:dyDescent="0.35">
      <c r="A1480" s="111"/>
      <c r="B1480" s="112"/>
      <c r="C1480" s="111"/>
      <c r="F1480" s="111"/>
    </row>
    <row r="1481" spans="1:6" s="56" customFormat="1" x14ac:dyDescent="0.35">
      <c r="A1481" s="111"/>
      <c r="B1481" s="112"/>
      <c r="C1481" s="111"/>
      <c r="F1481" s="111"/>
    </row>
    <row r="1482" spans="1:6" s="56" customFormat="1" x14ac:dyDescent="0.35">
      <c r="A1482" s="111"/>
      <c r="B1482" s="112"/>
      <c r="C1482" s="111"/>
      <c r="F1482" s="111"/>
    </row>
    <row r="1483" spans="1:6" s="56" customFormat="1" x14ac:dyDescent="0.35">
      <c r="A1483" s="111"/>
      <c r="B1483" s="112"/>
      <c r="C1483" s="111"/>
      <c r="F1483" s="111"/>
    </row>
    <row r="1484" spans="1:6" s="56" customFormat="1" x14ac:dyDescent="0.35">
      <c r="A1484" s="111"/>
      <c r="B1484" s="112"/>
      <c r="C1484" s="111"/>
      <c r="F1484" s="111"/>
    </row>
    <row r="1485" spans="1:6" s="56" customFormat="1" x14ac:dyDescent="0.35">
      <c r="A1485" s="111"/>
      <c r="B1485" s="112"/>
      <c r="C1485" s="111"/>
      <c r="F1485" s="111"/>
    </row>
    <row r="1486" spans="1:6" s="56" customFormat="1" x14ac:dyDescent="0.35">
      <c r="A1486" s="111"/>
      <c r="B1486" s="112"/>
      <c r="C1486" s="111"/>
      <c r="F1486" s="111"/>
    </row>
    <row r="1487" spans="1:6" s="56" customFormat="1" x14ac:dyDescent="0.35">
      <c r="A1487" s="111"/>
      <c r="B1487" s="112"/>
      <c r="C1487" s="111"/>
      <c r="F1487" s="111"/>
    </row>
    <row r="1488" spans="1:6" s="56" customFormat="1" x14ac:dyDescent="0.35">
      <c r="A1488" s="111"/>
      <c r="B1488" s="112"/>
      <c r="C1488" s="111"/>
      <c r="F1488" s="111"/>
    </row>
    <row r="1489" spans="1:6" s="56" customFormat="1" x14ac:dyDescent="0.35">
      <c r="A1489" s="111"/>
      <c r="B1489" s="112"/>
      <c r="C1489" s="111"/>
      <c r="F1489" s="111"/>
    </row>
    <row r="1490" spans="1:6" s="56" customFormat="1" x14ac:dyDescent="0.35">
      <c r="A1490" s="111"/>
      <c r="B1490" s="112"/>
      <c r="C1490" s="111"/>
      <c r="F1490" s="111"/>
    </row>
    <row r="1491" spans="1:6" s="56" customFormat="1" x14ac:dyDescent="0.35">
      <c r="A1491" s="111"/>
      <c r="B1491" s="112"/>
      <c r="C1491" s="111"/>
      <c r="F1491" s="111"/>
    </row>
    <row r="1492" spans="1:6" s="56" customFormat="1" x14ac:dyDescent="0.35">
      <c r="A1492" s="111"/>
      <c r="B1492" s="112"/>
      <c r="C1492" s="111"/>
      <c r="F1492" s="111"/>
    </row>
    <row r="1493" spans="1:6" s="56" customFormat="1" x14ac:dyDescent="0.35">
      <c r="A1493" s="111"/>
      <c r="B1493" s="112"/>
      <c r="C1493" s="111"/>
      <c r="F1493" s="111"/>
    </row>
    <row r="1494" spans="1:6" s="56" customFormat="1" x14ac:dyDescent="0.35">
      <c r="A1494" s="111"/>
      <c r="B1494" s="112"/>
      <c r="C1494" s="111"/>
      <c r="F1494" s="111"/>
    </row>
    <row r="1495" spans="1:6" s="56" customFormat="1" x14ac:dyDescent="0.35">
      <c r="A1495" s="111"/>
      <c r="B1495" s="112"/>
      <c r="C1495" s="111"/>
      <c r="F1495" s="111"/>
    </row>
    <row r="1496" spans="1:6" s="56" customFormat="1" x14ac:dyDescent="0.35">
      <c r="A1496" s="111"/>
      <c r="B1496" s="112"/>
      <c r="C1496" s="111"/>
      <c r="F1496" s="111"/>
    </row>
    <row r="1497" spans="1:6" s="56" customFormat="1" x14ac:dyDescent="0.35">
      <c r="A1497" s="111"/>
      <c r="B1497" s="112"/>
      <c r="C1497" s="111"/>
      <c r="F1497" s="111"/>
    </row>
    <row r="1498" spans="1:6" s="56" customFormat="1" x14ac:dyDescent="0.35">
      <c r="A1498" s="111"/>
      <c r="B1498" s="112"/>
      <c r="C1498" s="111"/>
      <c r="F1498" s="111"/>
    </row>
    <row r="1499" spans="1:6" s="56" customFormat="1" x14ac:dyDescent="0.35">
      <c r="A1499" s="111"/>
      <c r="B1499" s="112"/>
      <c r="C1499" s="111"/>
      <c r="F1499" s="111"/>
    </row>
    <row r="1500" spans="1:6" s="56" customFormat="1" x14ac:dyDescent="0.35">
      <c r="A1500" s="111"/>
      <c r="B1500" s="112"/>
      <c r="C1500" s="111"/>
      <c r="F1500" s="111"/>
    </row>
    <row r="1501" spans="1:6" s="56" customFormat="1" x14ac:dyDescent="0.35">
      <c r="A1501" s="111"/>
      <c r="B1501" s="112"/>
      <c r="C1501" s="111"/>
      <c r="F1501" s="111"/>
    </row>
    <row r="1502" spans="1:6" s="56" customFormat="1" x14ac:dyDescent="0.35">
      <c r="A1502" s="111"/>
      <c r="B1502" s="112"/>
      <c r="C1502" s="111"/>
      <c r="F1502" s="111"/>
    </row>
    <row r="1503" spans="1:6" s="56" customFormat="1" x14ac:dyDescent="0.35">
      <c r="A1503" s="111"/>
      <c r="B1503" s="112"/>
      <c r="C1503" s="111"/>
      <c r="F1503" s="111"/>
    </row>
    <row r="1504" spans="1:6" s="56" customFormat="1" x14ac:dyDescent="0.35">
      <c r="A1504" s="111"/>
      <c r="B1504" s="112"/>
      <c r="C1504" s="111"/>
      <c r="F1504" s="111"/>
    </row>
    <row r="1505" spans="1:6" s="56" customFormat="1" x14ac:dyDescent="0.35">
      <c r="A1505" s="111"/>
      <c r="B1505" s="112"/>
      <c r="C1505" s="111"/>
      <c r="F1505" s="111"/>
    </row>
    <row r="1506" spans="1:6" s="56" customFormat="1" x14ac:dyDescent="0.35">
      <c r="A1506" s="111"/>
      <c r="B1506" s="112"/>
      <c r="C1506" s="111"/>
      <c r="F1506" s="111"/>
    </row>
    <row r="1507" spans="1:6" s="56" customFormat="1" x14ac:dyDescent="0.35">
      <c r="A1507" s="111"/>
      <c r="B1507" s="112"/>
      <c r="C1507" s="111"/>
      <c r="F1507" s="111"/>
    </row>
    <row r="1508" spans="1:6" s="56" customFormat="1" x14ac:dyDescent="0.35">
      <c r="A1508" s="111"/>
      <c r="B1508" s="112"/>
      <c r="C1508" s="111"/>
      <c r="F1508" s="111"/>
    </row>
    <row r="1509" spans="1:6" s="56" customFormat="1" x14ac:dyDescent="0.35">
      <c r="A1509" s="111"/>
      <c r="B1509" s="112"/>
      <c r="C1509" s="111"/>
      <c r="F1509" s="111"/>
    </row>
    <row r="1510" spans="1:6" s="56" customFormat="1" x14ac:dyDescent="0.35">
      <c r="A1510" s="111"/>
      <c r="B1510" s="112"/>
      <c r="C1510" s="111"/>
      <c r="F1510" s="111"/>
    </row>
    <row r="1511" spans="1:6" s="56" customFormat="1" x14ac:dyDescent="0.35">
      <c r="A1511" s="111"/>
      <c r="B1511" s="112"/>
      <c r="C1511" s="111"/>
      <c r="F1511" s="111"/>
    </row>
    <row r="1512" spans="1:6" s="56" customFormat="1" x14ac:dyDescent="0.35">
      <c r="A1512" s="111"/>
      <c r="B1512" s="112"/>
      <c r="C1512" s="111"/>
      <c r="F1512" s="111"/>
    </row>
    <row r="1513" spans="1:6" s="56" customFormat="1" x14ac:dyDescent="0.35">
      <c r="A1513" s="111"/>
      <c r="B1513" s="112"/>
      <c r="C1513" s="111"/>
      <c r="F1513" s="111"/>
    </row>
    <row r="1514" spans="1:6" s="56" customFormat="1" x14ac:dyDescent="0.35">
      <c r="A1514" s="111"/>
      <c r="B1514" s="112"/>
      <c r="C1514" s="111"/>
      <c r="F1514" s="111"/>
    </row>
    <row r="1515" spans="1:6" s="56" customFormat="1" x14ac:dyDescent="0.35">
      <c r="A1515" s="111"/>
      <c r="B1515" s="112"/>
      <c r="C1515" s="111"/>
      <c r="F1515" s="111"/>
    </row>
    <row r="1516" spans="1:6" s="56" customFormat="1" x14ac:dyDescent="0.35">
      <c r="A1516" s="111"/>
      <c r="B1516" s="112"/>
      <c r="C1516" s="111"/>
      <c r="F1516" s="111"/>
    </row>
    <row r="1517" spans="1:6" s="56" customFormat="1" x14ac:dyDescent="0.35">
      <c r="A1517" s="111"/>
      <c r="B1517" s="112"/>
      <c r="C1517" s="111"/>
      <c r="F1517" s="111"/>
    </row>
    <row r="1518" spans="1:6" s="56" customFormat="1" x14ac:dyDescent="0.35">
      <c r="A1518" s="111"/>
      <c r="B1518" s="112"/>
      <c r="C1518" s="111"/>
      <c r="F1518" s="111"/>
    </row>
    <row r="1519" spans="1:6" s="56" customFormat="1" x14ac:dyDescent="0.35">
      <c r="A1519" s="111"/>
      <c r="B1519" s="112"/>
      <c r="C1519" s="111"/>
      <c r="F1519" s="111"/>
    </row>
    <row r="1520" spans="1:6" s="56" customFormat="1" x14ac:dyDescent="0.35">
      <c r="A1520" s="111"/>
      <c r="B1520" s="112"/>
      <c r="C1520" s="111"/>
      <c r="F1520" s="111"/>
    </row>
    <row r="1521" spans="1:6" s="56" customFormat="1" x14ac:dyDescent="0.35">
      <c r="A1521" s="111"/>
      <c r="B1521" s="112"/>
      <c r="C1521" s="111"/>
      <c r="F1521" s="111"/>
    </row>
    <row r="1522" spans="1:6" s="56" customFormat="1" x14ac:dyDescent="0.35">
      <c r="A1522" s="111"/>
      <c r="B1522" s="112"/>
      <c r="C1522" s="111"/>
      <c r="F1522" s="111"/>
    </row>
    <row r="1523" spans="1:6" s="56" customFormat="1" x14ac:dyDescent="0.35">
      <c r="A1523" s="111"/>
      <c r="B1523" s="112"/>
      <c r="C1523" s="111"/>
      <c r="F1523" s="111"/>
    </row>
    <row r="1524" spans="1:6" s="56" customFormat="1" x14ac:dyDescent="0.35">
      <c r="A1524" s="111"/>
      <c r="B1524" s="112"/>
      <c r="C1524" s="111"/>
      <c r="F1524" s="111"/>
    </row>
    <row r="1525" spans="1:6" s="56" customFormat="1" x14ac:dyDescent="0.35">
      <c r="A1525" s="111"/>
      <c r="B1525" s="112"/>
      <c r="C1525" s="111"/>
      <c r="F1525" s="111"/>
    </row>
    <row r="1526" spans="1:6" s="56" customFormat="1" x14ac:dyDescent="0.35">
      <c r="A1526" s="111"/>
      <c r="B1526" s="112"/>
      <c r="C1526" s="111"/>
      <c r="F1526" s="111"/>
    </row>
    <row r="1527" spans="1:6" s="56" customFormat="1" x14ac:dyDescent="0.35">
      <c r="A1527" s="111"/>
      <c r="B1527" s="112"/>
      <c r="C1527" s="111"/>
      <c r="F1527" s="111"/>
    </row>
    <row r="1528" spans="1:6" s="56" customFormat="1" x14ac:dyDescent="0.35">
      <c r="A1528" s="111"/>
      <c r="B1528" s="112"/>
      <c r="C1528" s="111"/>
      <c r="F1528" s="111"/>
    </row>
    <row r="1529" spans="1:6" s="56" customFormat="1" x14ac:dyDescent="0.35">
      <c r="A1529" s="111"/>
      <c r="B1529" s="112"/>
      <c r="C1529" s="111"/>
      <c r="F1529" s="111"/>
    </row>
    <row r="1530" spans="1:6" s="56" customFormat="1" x14ac:dyDescent="0.35">
      <c r="A1530" s="111"/>
      <c r="B1530" s="112"/>
      <c r="C1530" s="111"/>
      <c r="F1530" s="111"/>
    </row>
    <row r="1531" spans="1:6" s="56" customFormat="1" x14ac:dyDescent="0.35">
      <c r="A1531" s="111"/>
      <c r="B1531" s="112"/>
      <c r="C1531" s="111"/>
      <c r="F1531" s="111"/>
    </row>
    <row r="1532" spans="1:6" s="56" customFormat="1" x14ac:dyDescent="0.35">
      <c r="A1532" s="111"/>
      <c r="B1532" s="112"/>
      <c r="C1532" s="111"/>
      <c r="F1532" s="111"/>
    </row>
    <row r="1533" spans="1:6" s="56" customFormat="1" x14ac:dyDescent="0.35">
      <c r="A1533" s="111"/>
      <c r="B1533" s="112"/>
      <c r="C1533" s="111"/>
      <c r="F1533" s="111"/>
    </row>
    <row r="1534" spans="1:6" s="56" customFormat="1" x14ac:dyDescent="0.35">
      <c r="A1534" s="111"/>
      <c r="B1534" s="112"/>
      <c r="C1534" s="111"/>
      <c r="F1534" s="111"/>
    </row>
    <row r="1535" spans="1:6" s="56" customFormat="1" x14ac:dyDescent="0.35">
      <c r="A1535" s="111"/>
      <c r="B1535" s="112"/>
      <c r="C1535" s="111"/>
      <c r="F1535" s="111"/>
    </row>
    <row r="1536" spans="1:6" s="56" customFormat="1" x14ac:dyDescent="0.35">
      <c r="A1536" s="111"/>
      <c r="B1536" s="112"/>
      <c r="C1536" s="111"/>
      <c r="F1536" s="111"/>
    </row>
    <row r="1537" spans="1:6" s="56" customFormat="1" x14ac:dyDescent="0.35">
      <c r="A1537" s="111"/>
      <c r="B1537" s="112"/>
      <c r="C1537" s="111"/>
      <c r="F1537" s="111"/>
    </row>
    <row r="1538" spans="1:6" s="56" customFormat="1" x14ac:dyDescent="0.35">
      <c r="A1538" s="111"/>
      <c r="B1538" s="112"/>
      <c r="C1538" s="111"/>
      <c r="F1538" s="111"/>
    </row>
    <row r="1539" spans="1:6" s="56" customFormat="1" x14ac:dyDescent="0.35">
      <c r="A1539" s="111"/>
      <c r="B1539" s="112"/>
      <c r="C1539" s="111"/>
      <c r="F1539" s="111"/>
    </row>
    <row r="1540" spans="1:6" s="56" customFormat="1" x14ac:dyDescent="0.35">
      <c r="A1540" s="111"/>
      <c r="B1540" s="112"/>
      <c r="C1540" s="111"/>
      <c r="F1540" s="111"/>
    </row>
    <row r="1541" spans="1:6" s="56" customFormat="1" x14ac:dyDescent="0.35">
      <c r="A1541" s="111"/>
      <c r="B1541" s="112"/>
      <c r="C1541" s="111"/>
      <c r="F1541" s="111"/>
    </row>
    <row r="1542" spans="1:6" s="56" customFormat="1" x14ac:dyDescent="0.35">
      <c r="A1542" s="111"/>
      <c r="B1542" s="112"/>
      <c r="C1542" s="111"/>
      <c r="F1542" s="111"/>
    </row>
    <row r="1543" spans="1:6" s="56" customFormat="1" x14ac:dyDescent="0.35">
      <c r="A1543" s="111"/>
      <c r="B1543" s="112"/>
      <c r="C1543" s="111"/>
      <c r="F1543" s="111"/>
    </row>
    <row r="1544" spans="1:6" s="56" customFormat="1" x14ac:dyDescent="0.35">
      <c r="A1544" s="111"/>
      <c r="B1544" s="112"/>
      <c r="C1544" s="111"/>
      <c r="F1544" s="111"/>
    </row>
    <row r="1545" spans="1:6" s="56" customFormat="1" x14ac:dyDescent="0.35">
      <c r="A1545" s="111"/>
      <c r="B1545" s="112"/>
      <c r="C1545" s="111"/>
      <c r="F1545" s="111"/>
    </row>
    <row r="1546" spans="1:6" s="56" customFormat="1" x14ac:dyDescent="0.35">
      <c r="A1546" s="111"/>
      <c r="B1546" s="112"/>
      <c r="C1546" s="111"/>
      <c r="F1546" s="111"/>
    </row>
    <row r="1547" spans="1:6" s="56" customFormat="1" x14ac:dyDescent="0.35">
      <c r="A1547" s="111"/>
      <c r="B1547" s="112"/>
      <c r="C1547" s="111"/>
      <c r="F1547" s="111"/>
    </row>
    <row r="1548" spans="1:6" s="56" customFormat="1" x14ac:dyDescent="0.35">
      <c r="A1548" s="111"/>
      <c r="B1548" s="112"/>
      <c r="C1548" s="111"/>
      <c r="F1548" s="111"/>
    </row>
    <row r="1549" spans="1:6" s="56" customFormat="1" x14ac:dyDescent="0.35">
      <c r="A1549" s="111"/>
      <c r="B1549" s="112"/>
      <c r="C1549" s="111"/>
      <c r="F1549" s="111"/>
    </row>
    <row r="1550" spans="1:6" s="56" customFormat="1" x14ac:dyDescent="0.35">
      <c r="A1550" s="111"/>
      <c r="B1550" s="112"/>
      <c r="C1550" s="111"/>
      <c r="F1550" s="111"/>
    </row>
    <row r="1551" spans="1:6" s="56" customFormat="1" x14ac:dyDescent="0.35">
      <c r="A1551" s="111"/>
      <c r="B1551" s="112"/>
      <c r="C1551" s="111"/>
      <c r="F1551" s="111"/>
    </row>
    <row r="1552" spans="1:6" s="56" customFormat="1" x14ac:dyDescent="0.35">
      <c r="A1552" s="111"/>
      <c r="B1552" s="112"/>
      <c r="C1552" s="111"/>
      <c r="F1552" s="111"/>
    </row>
    <row r="1553" spans="1:6" s="56" customFormat="1" x14ac:dyDescent="0.35">
      <c r="A1553" s="111"/>
      <c r="B1553" s="112"/>
      <c r="C1553" s="111"/>
      <c r="F1553" s="111"/>
    </row>
    <row r="1554" spans="1:6" s="56" customFormat="1" x14ac:dyDescent="0.35">
      <c r="A1554" s="111"/>
      <c r="B1554" s="112"/>
      <c r="C1554" s="111"/>
      <c r="F1554" s="111"/>
    </row>
    <row r="1555" spans="1:6" s="56" customFormat="1" x14ac:dyDescent="0.35">
      <c r="A1555" s="111"/>
      <c r="B1555" s="112"/>
      <c r="C1555" s="111"/>
      <c r="F1555" s="111"/>
    </row>
    <row r="1556" spans="1:6" s="56" customFormat="1" x14ac:dyDescent="0.35">
      <c r="A1556" s="111"/>
      <c r="B1556" s="112"/>
      <c r="C1556" s="111"/>
      <c r="F1556" s="111"/>
    </row>
    <row r="1557" spans="1:6" s="56" customFormat="1" x14ac:dyDescent="0.35">
      <c r="A1557" s="111"/>
      <c r="B1557" s="112"/>
      <c r="C1557" s="111"/>
      <c r="F1557" s="111"/>
    </row>
    <row r="1558" spans="1:6" s="56" customFormat="1" x14ac:dyDescent="0.35">
      <c r="A1558" s="111"/>
      <c r="B1558" s="112"/>
      <c r="C1558" s="111"/>
      <c r="F1558" s="111"/>
    </row>
    <row r="1559" spans="1:6" s="56" customFormat="1" x14ac:dyDescent="0.35">
      <c r="A1559" s="111"/>
      <c r="B1559" s="112"/>
      <c r="C1559" s="111"/>
      <c r="F1559" s="111"/>
    </row>
    <row r="1560" spans="1:6" s="56" customFormat="1" x14ac:dyDescent="0.35">
      <c r="A1560" s="111"/>
      <c r="B1560" s="112"/>
      <c r="C1560" s="111"/>
      <c r="F1560" s="111"/>
    </row>
    <row r="1561" spans="1:6" s="56" customFormat="1" x14ac:dyDescent="0.35">
      <c r="A1561" s="111"/>
      <c r="B1561" s="112"/>
      <c r="C1561" s="111"/>
      <c r="F1561" s="111"/>
    </row>
    <row r="1562" spans="1:6" s="56" customFormat="1" x14ac:dyDescent="0.35">
      <c r="A1562" s="111"/>
      <c r="B1562" s="112"/>
      <c r="C1562" s="111"/>
      <c r="F1562" s="111"/>
    </row>
    <row r="1563" spans="1:6" s="56" customFormat="1" x14ac:dyDescent="0.35">
      <c r="A1563" s="111"/>
      <c r="B1563" s="112"/>
      <c r="C1563" s="111"/>
      <c r="F1563" s="111"/>
    </row>
    <row r="1564" spans="1:6" s="56" customFormat="1" x14ac:dyDescent="0.35">
      <c r="A1564" s="111"/>
      <c r="B1564" s="112"/>
      <c r="C1564" s="111"/>
      <c r="F1564" s="111"/>
    </row>
    <row r="1565" spans="1:6" s="56" customFormat="1" x14ac:dyDescent="0.35">
      <c r="A1565" s="111"/>
      <c r="B1565" s="112"/>
      <c r="C1565" s="111"/>
      <c r="F1565" s="111"/>
    </row>
    <row r="1566" spans="1:6" s="56" customFormat="1" x14ac:dyDescent="0.35">
      <c r="A1566" s="111"/>
      <c r="B1566" s="112"/>
      <c r="C1566" s="111"/>
      <c r="F1566" s="111"/>
    </row>
    <row r="1567" spans="1:6" s="56" customFormat="1" x14ac:dyDescent="0.35">
      <c r="A1567" s="111"/>
      <c r="B1567" s="112"/>
      <c r="C1567" s="111"/>
      <c r="F1567" s="111"/>
    </row>
    <row r="1568" spans="1:6" s="56" customFormat="1" x14ac:dyDescent="0.35">
      <c r="A1568" s="111"/>
      <c r="B1568" s="112"/>
      <c r="C1568" s="111"/>
      <c r="F1568" s="111"/>
    </row>
    <row r="1569" spans="1:6" s="56" customFormat="1" x14ac:dyDescent="0.35">
      <c r="A1569" s="111"/>
      <c r="B1569" s="112"/>
      <c r="C1569" s="111"/>
      <c r="F1569" s="111"/>
    </row>
    <row r="1570" spans="1:6" s="56" customFormat="1" x14ac:dyDescent="0.35">
      <c r="A1570" s="111"/>
      <c r="B1570" s="112"/>
      <c r="C1570" s="111"/>
      <c r="F1570" s="111"/>
    </row>
    <row r="1571" spans="1:6" s="56" customFormat="1" x14ac:dyDescent="0.35">
      <c r="A1571" s="111"/>
      <c r="B1571" s="112"/>
      <c r="C1571" s="111"/>
      <c r="F1571" s="111"/>
    </row>
    <row r="1572" spans="1:6" s="56" customFormat="1" x14ac:dyDescent="0.35">
      <c r="A1572" s="111"/>
      <c r="B1572" s="112"/>
      <c r="C1572" s="111"/>
      <c r="F1572" s="111"/>
    </row>
    <row r="1573" spans="1:6" s="56" customFormat="1" x14ac:dyDescent="0.35">
      <c r="A1573" s="111"/>
      <c r="B1573" s="112"/>
      <c r="C1573" s="111"/>
      <c r="F1573" s="111"/>
    </row>
    <row r="1574" spans="1:6" s="56" customFormat="1" x14ac:dyDescent="0.35">
      <c r="A1574" s="111"/>
      <c r="B1574" s="112"/>
      <c r="C1574" s="111"/>
      <c r="F1574" s="111"/>
    </row>
    <row r="1575" spans="1:6" s="56" customFormat="1" x14ac:dyDescent="0.35">
      <c r="A1575" s="111"/>
      <c r="B1575" s="112"/>
      <c r="C1575" s="111"/>
      <c r="F1575" s="111"/>
    </row>
    <row r="1576" spans="1:6" s="56" customFormat="1" x14ac:dyDescent="0.35">
      <c r="A1576" s="111"/>
      <c r="B1576" s="112"/>
      <c r="C1576" s="111"/>
      <c r="F1576" s="111"/>
    </row>
    <row r="1577" spans="1:6" s="56" customFormat="1" x14ac:dyDescent="0.35">
      <c r="A1577" s="111"/>
      <c r="B1577" s="112"/>
      <c r="C1577" s="111"/>
      <c r="F1577" s="111"/>
    </row>
    <row r="1578" spans="1:6" s="56" customFormat="1" x14ac:dyDescent="0.35">
      <c r="A1578" s="111"/>
      <c r="B1578" s="112"/>
      <c r="C1578" s="111"/>
      <c r="F1578" s="111"/>
    </row>
    <row r="1579" spans="1:6" s="56" customFormat="1" x14ac:dyDescent="0.35">
      <c r="A1579" s="111"/>
      <c r="B1579" s="112"/>
      <c r="C1579" s="111"/>
      <c r="F1579" s="111"/>
    </row>
    <row r="1580" spans="1:6" s="56" customFormat="1" x14ac:dyDescent="0.35">
      <c r="A1580" s="111"/>
      <c r="B1580" s="112"/>
      <c r="C1580" s="111"/>
      <c r="F1580" s="111"/>
    </row>
    <row r="1581" spans="1:6" s="56" customFormat="1" x14ac:dyDescent="0.35">
      <c r="A1581" s="111"/>
      <c r="B1581" s="112"/>
      <c r="C1581" s="111"/>
      <c r="F1581" s="111"/>
    </row>
    <row r="1582" spans="1:6" s="56" customFormat="1" x14ac:dyDescent="0.35">
      <c r="A1582" s="111"/>
      <c r="B1582" s="112"/>
      <c r="C1582" s="111"/>
      <c r="F1582" s="111"/>
    </row>
    <row r="1583" spans="1:6" s="56" customFormat="1" x14ac:dyDescent="0.35">
      <c r="A1583" s="111"/>
      <c r="B1583" s="112"/>
      <c r="C1583" s="111"/>
      <c r="F1583" s="111"/>
    </row>
    <row r="1584" spans="1:6" s="56" customFormat="1" x14ac:dyDescent="0.35">
      <c r="A1584" s="111"/>
      <c r="B1584" s="112"/>
      <c r="C1584" s="111"/>
      <c r="F1584" s="111"/>
    </row>
    <row r="1585" spans="1:6" s="56" customFormat="1" x14ac:dyDescent="0.35">
      <c r="A1585" s="111"/>
      <c r="B1585" s="112"/>
      <c r="C1585" s="111"/>
      <c r="F1585" s="111"/>
    </row>
    <row r="1586" spans="1:6" s="56" customFormat="1" x14ac:dyDescent="0.35">
      <c r="A1586" s="111"/>
      <c r="B1586" s="112"/>
      <c r="C1586" s="111"/>
      <c r="F1586" s="111"/>
    </row>
    <row r="1587" spans="1:6" s="56" customFormat="1" x14ac:dyDescent="0.35">
      <c r="A1587" s="111"/>
      <c r="B1587" s="112"/>
      <c r="C1587" s="111"/>
      <c r="F1587" s="111"/>
    </row>
    <row r="1588" spans="1:6" s="56" customFormat="1" x14ac:dyDescent="0.35">
      <c r="A1588" s="111"/>
      <c r="B1588" s="112"/>
      <c r="C1588" s="111"/>
      <c r="F1588" s="111"/>
    </row>
    <row r="1589" spans="1:6" s="56" customFormat="1" x14ac:dyDescent="0.35">
      <c r="A1589" s="111"/>
      <c r="B1589" s="112"/>
      <c r="C1589" s="111"/>
      <c r="F1589" s="111"/>
    </row>
    <row r="1590" spans="1:6" s="56" customFormat="1" x14ac:dyDescent="0.35">
      <c r="A1590" s="111"/>
      <c r="B1590" s="112"/>
      <c r="C1590" s="111"/>
      <c r="F1590" s="111"/>
    </row>
    <row r="1591" spans="1:6" s="56" customFormat="1" x14ac:dyDescent="0.35">
      <c r="A1591" s="111"/>
      <c r="B1591" s="112"/>
      <c r="C1591" s="111"/>
      <c r="F1591" s="111"/>
    </row>
    <row r="1592" spans="1:6" s="56" customFormat="1" x14ac:dyDescent="0.35">
      <c r="A1592" s="111"/>
      <c r="B1592" s="112"/>
      <c r="C1592" s="111"/>
      <c r="F1592" s="111"/>
    </row>
    <row r="1593" spans="1:6" s="56" customFormat="1" x14ac:dyDescent="0.35">
      <c r="A1593" s="111"/>
      <c r="B1593" s="112"/>
      <c r="C1593" s="111"/>
      <c r="F1593" s="111"/>
    </row>
    <row r="1594" spans="1:6" s="56" customFormat="1" x14ac:dyDescent="0.35">
      <c r="A1594" s="111"/>
      <c r="B1594" s="112"/>
      <c r="C1594" s="111"/>
      <c r="F1594" s="111"/>
    </row>
    <row r="1595" spans="1:6" s="56" customFormat="1" x14ac:dyDescent="0.35">
      <c r="A1595" s="111"/>
      <c r="B1595" s="112"/>
      <c r="C1595" s="111"/>
      <c r="F1595" s="111"/>
    </row>
    <row r="1596" spans="1:6" s="56" customFormat="1" x14ac:dyDescent="0.35">
      <c r="A1596" s="111"/>
      <c r="B1596" s="112"/>
      <c r="C1596" s="111"/>
      <c r="F1596" s="111"/>
    </row>
    <row r="1597" spans="1:6" s="56" customFormat="1" x14ac:dyDescent="0.35">
      <c r="A1597" s="111"/>
      <c r="B1597" s="112"/>
      <c r="C1597" s="111"/>
      <c r="F1597" s="111"/>
    </row>
    <row r="1598" spans="1:6" s="56" customFormat="1" x14ac:dyDescent="0.35">
      <c r="A1598" s="111"/>
      <c r="B1598" s="112"/>
      <c r="C1598" s="111"/>
      <c r="F1598" s="111"/>
    </row>
    <row r="1599" spans="1:6" s="56" customFormat="1" x14ac:dyDescent="0.35">
      <c r="A1599" s="111"/>
      <c r="B1599" s="112"/>
      <c r="C1599" s="111"/>
      <c r="F1599" s="111"/>
    </row>
    <row r="1600" spans="1:6" s="56" customFormat="1" x14ac:dyDescent="0.35">
      <c r="A1600" s="111"/>
      <c r="B1600" s="112"/>
      <c r="C1600" s="111"/>
      <c r="F1600" s="111"/>
    </row>
    <row r="1601" spans="1:6" s="56" customFormat="1" x14ac:dyDescent="0.35">
      <c r="A1601" s="111"/>
      <c r="B1601" s="112"/>
      <c r="C1601" s="111"/>
      <c r="F1601" s="111"/>
    </row>
    <row r="1602" spans="1:6" s="56" customFormat="1" x14ac:dyDescent="0.35">
      <c r="A1602" s="111"/>
      <c r="B1602" s="112"/>
      <c r="C1602" s="111"/>
      <c r="F1602" s="111"/>
    </row>
    <row r="1603" spans="1:6" s="56" customFormat="1" x14ac:dyDescent="0.35">
      <c r="A1603" s="111"/>
      <c r="B1603" s="112"/>
      <c r="C1603" s="111"/>
      <c r="F1603" s="111"/>
    </row>
    <row r="1604" spans="1:6" s="56" customFormat="1" x14ac:dyDescent="0.35">
      <c r="A1604" s="111"/>
      <c r="B1604" s="112"/>
      <c r="C1604" s="111"/>
      <c r="F1604" s="111"/>
    </row>
    <row r="1605" spans="1:6" s="56" customFormat="1" x14ac:dyDescent="0.35">
      <c r="A1605" s="111"/>
      <c r="B1605" s="112"/>
      <c r="C1605" s="111"/>
      <c r="F1605" s="111"/>
    </row>
    <row r="1606" spans="1:6" s="56" customFormat="1" x14ac:dyDescent="0.35">
      <c r="A1606" s="111"/>
      <c r="B1606" s="112"/>
      <c r="C1606" s="111"/>
      <c r="F1606" s="111"/>
    </row>
    <row r="1607" spans="1:6" s="56" customFormat="1" x14ac:dyDescent="0.35">
      <c r="A1607" s="111"/>
      <c r="B1607" s="112"/>
      <c r="C1607" s="111"/>
      <c r="F1607" s="111"/>
    </row>
    <row r="1608" spans="1:6" s="56" customFormat="1" x14ac:dyDescent="0.35">
      <c r="A1608" s="111"/>
      <c r="B1608" s="112"/>
      <c r="C1608" s="111"/>
      <c r="F1608" s="111"/>
    </row>
    <row r="1609" spans="1:6" s="56" customFormat="1" x14ac:dyDescent="0.35">
      <c r="A1609" s="111"/>
      <c r="B1609" s="112"/>
      <c r="C1609" s="111"/>
      <c r="F1609" s="111"/>
    </row>
    <row r="1610" spans="1:6" s="56" customFormat="1" x14ac:dyDescent="0.35">
      <c r="A1610" s="111"/>
      <c r="B1610" s="112"/>
      <c r="C1610" s="111"/>
      <c r="F1610" s="111"/>
    </row>
    <row r="1611" spans="1:6" s="56" customFormat="1" x14ac:dyDescent="0.35">
      <c r="A1611" s="111"/>
      <c r="B1611" s="112"/>
      <c r="C1611" s="111"/>
      <c r="F1611" s="111"/>
    </row>
    <row r="1612" spans="1:6" s="56" customFormat="1" x14ac:dyDescent="0.35">
      <c r="A1612" s="111"/>
      <c r="B1612" s="112"/>
      <c r="C1612" s="111"/>
      <c r="F1612" s="111"/>
    </row>
    <row r="1613" spans="1:6" s="56" customFormat="1" x14ac:dyDescent="0.35">
      <c r="A1613" s="111"/>
      <c r="B1613" s="112"/>
      <c r="C1613" s="111"/>
      <c r="F1613" s="111"/>
    </row>
    <row r="1614" spans="1:6" s="56" customFormat="1" x14ac:dyDescent="0.35">
      <c r="A1614" s="111"/>
      <c r="B1614" s="112"/>
      <c r="C1614" s="111"/>
      <c r="F1614" s="111"/>
    </row>
    <row r="1615" spans="1:6" s="56" customFormat="1" x14ac:dyDescent="0.35">
      <c r="A1615" s="111"/>
      <c r="B1615" s="112"/>
      <c r="C1615" s="111"/>
      <c r="F1615" s="111"/>
    </row>
    <row r="1616" spans="1:6" s="56" customFormat="1" x14ac:dyDescent="0.35">
      <c r="A1616" s="111"/>
      <c r="B1616" s="112"/>
      <c r="C1616" s="111"/>
      <c r="F1616" s="111"/>
    </row>
    <row r="1617" spans="1:6" s="56" customFormat="1" x14ac:dyDescent="0.35">
      <c r="A1617" s="111"/>
      <c r="B1617" s="112"/>
      <c r="C1617" s="111"/>
      <c r="F1617" s="111"/>
    </row>
    <row r="1618" spans="1:6" s="56" customFormat="1" x14ac:dyDescent="0.35">
      <c r="A1618" s="111"/>
      <c r="B1618" s="112"/>
      <c r="C1618" s="111"/>
      <c r="F1618" s="111"/>
    </row>
    <row r="1619" spans="1:6" s="56" customFormat="1" x14ac:dyDescent="0.35">
      <c r="A1619" s="111"/>
      <c r="B1619" s="112"/>
      <c r="C1619" s="111"/>
      <c r="F1619" s="111"/>
    </row>
    <row r="1620" spans="1:6" s="56" customFormat="1" x14ac:dyDescent="0.35">
      <c r="A1620" s="111"/>
      <c r="B1620" s="112"/>
      <c r="C1620" s="111"/>
      <c r="F1620" s="111"/>
    </row>
    <row r="1621" spans="1:6" s="56" customFormat="1" x14ac:dyDescent="0.35">
      <c r="A1621" s="111"/>
      <c r="B1621" s="112"/>
      <c r="C1621" s="111"/>
      <c r="F1621" s="111"/>
    </row>
    <row r="1622" spans="1:6" s="56" customFormat="1" x14ac:dyDescent="0.35">
      <c r="A1622" s="111"/>
      <c r="B1622" s="112"/>
      <c r="C1622" s="111"/>
      <c r="F1622" s="111"/>
    </row>
    <row r="1623" spans="1:6" s="56" customFormat="1" x14ac:dyDescent="0.35">
      <c r="A1623" s="111"/>
      <c r="B1623" s="112"/>
      <c r="C1623" s="111"/>
      <c r="F1623" s="111"/>
    </row>
    <row r="1624" spans="1:6" s="56" customFormat="1" x14ac:dyDescent="0.35">
      <c r="A1624" s="111"/>
      <c r="B1624" s="112"/>
      <c r="C1624" s="111"/>
      <c r="F1624" s="111"/>
    </row>
    <row r="1625" spans="1:6" s="56" customFormat="1" x14ac:dyDescent="0.35">
      <c r="A1625" s="111"/>
      <c r="B1625" s="112"/>
      <c r="C1625" s="111"/>
      <c r="F1625" s="111"/>
    </row>
    <row r="1626" spans="1:6" s="56" customFormat="1" x14ac:dyDescent="0.35">
      <c r="A1626" s="111"/>
      <c r="B1626" s="112"/>
      <c r="C1626" s="111"/>
      <c r="F1626" s="111"/>
    </row>
    <row r="1627" spans="1:6" s="56" customFormat="1" x14ac:dyDescent="0.35">
      <c r="A1627" s="111"/>
      <c r="B1627" s="112"/>
      <c r="C1627" s="111"/>
      <c r="F1627" s="111"/>
    </row>
    <row r="1628" spans="1:6" s="56" customFormat="1" x14ac:dyDescent="0.35">
      <c r="A1628" s="111"/>
      <c r="B1628" s="112"/>
      <c r="C1628" s="111"/>
      <c r="F1628" s="111"/>
    </row>
    <row r="1629" spans="1:6" s="56" customFormat="1" x14ac:dyDescent="0.35">
      <c r="A1629" s="111"/>
      <c r="B1629" s="112"/>
      <c r="C1629" s="111"/>
      <c r="F1629" s="111"/>
    </row>
    <row r="1630" spans="1:6" s="56" customFormat="1" x14ac:dyDescent="0.35">
      <c r="A1630" s="111"/>
      <c r="B1630" s="112"/>
      <c r="C1630" s="111"/>
      <c r="F1630" s="111"/>
    </row>
    <row r="1631" spans="1:6" s="56" customFormat="1" x14ac:dyDescent="0.35">
      <c r="A1631" s="111"/>
      <c r="B1631" s="112"/>
      <c r="C1631" s="111"/>
      <c r="F1631" s="111"/>
    </row>
    <row r="1632" spans="1:6" s="56" customFormat="1" x14ac:dyDescent="0.35">
      <c r="A1632" s="111"/>
      <c r="B1632" s="112"/>
      <c r="C1632" s="111"/>
      <c r="F1632" s="111"/>
    </row>
    <row r="1633" spans="1:6" s="56" customFormat="1" x14ac:dyDescent="0.35">
      <c r="A1633" s="111"/>
      <c r="B1633" s="112"/>
      <c r="C1633" s="111"/>
      <c r="F1633" s="111"/>
    </row>
    <row r="1634" spans="1:6" s="56" customFormat="1" x14ac:dyDescent="0.35">
      <c r="A1634" s="111"/>
      <c r="B1634" s="112"/>
      <c r="C1634" s="111"/>
      <c r="F1634" s="111"/>
    </row>
    <row r="1635" spans="1:6" s="56" customFormat="1" x14ac:dyDescent="0.35">
      <c r="A1635" s="111"/>
      <c r="B1635" s="112"/>
      <c r="C1635" s="111"/>
      <c r="F1635" s="111"/>
    </row>
    <row r="1636" spans="1:6" s="56" customFormat="1" x14ac:dyDescent="0.35">
      <c r="A1636" s="111"/>
      <c r="B1636" s="112"/>
      <c r="C1636" s="111"/>
      <c r="F1636" s="111"/>
    </row>
    <row r="1637" spans="1:6" s="56" customFormat="1" x14ac:dyDescent="0.35">
      <c r="A1637" s="111"/>
      <c r="B1637" s="112"/>
      <c r="C1637" s="111"/>
      <c r="F1637" s="111"/>
    </row>
    <row r="1638" spans="1:6" s="56" customFormat="1" x14ac:dyDescent="0.35">
      <c r="A1638" s="111"/>
      <c r="B1638" s="112"/>
      <c r="C1638" s="111"/>
      <c r="F1638" s="111"/>
    </row>
    <row r="1639" spans="1:6" s="56" customFormat="1" x14ac:dyDescent="0.35">
      <c r="A1639" s="111"/>
      <c r="B1639" s="112"/>
      <c r="C1639" s="111"/>
      <c r="F1639" s="111"/>
    </row>
    <row r="1640" spans="1:6" s="56" customFormat="1" x14ac:dyDescent="0.35">
      <c r="A1640" s="111"/>
      <c r="B1640" s="112"/>
      <c r="C1640" s="111"/>
      <c r="F1640" s="111"/>
    </row>
    <row r="1641" spans="1:6" s="56" customFormat="1" x14ac:dyDescent="0.35">
      <c r="A1641" s="111"/>
      <c r="B1641" s="112"/>
      <c r="C1641" s="111"/>
      <c r="F1641" s="111"/>
    </row>
    <row r="1642" spans="1:6" s="56" customFormat="1" x14ac:dyDescent="0.35">
      <c r="A1642" s="111"/>
      <c r="B1642" s="112"/>
      <c r="C1642" s="111"/>
      <c r="F1642" s="111"/>
    </row>
    <row r="1643" spans="1:6" s="56" customFormat="1" x14ac:dyDescent="0.35">
      <c r="A1643" s="111"/>
      <c r="B1643" s="112"/>
      <c r="C1643" s="111"/>
      <c r="F1643" s="111"/>
    </row>
    <row r="1644" spans="1:6" s="56" customFormat="1" x14ac:dyDescent="0.35">
      <c r="A1644" s="111"/>
      <c r="B1644" s="112"/>
      <c r="C1644" s="111"/>
      <c r="F1644" s="111"/>
    </row>
    <row r="1645" spans="1:6" s="56" customFormat="1" x14ac:dyDescent="0.35">
      <c r="A1645" s="111"/>
      <c r="B1645" s="112"/>
      <c r="C1645" s="111"/>
      <c r="F1645" s="111"/>
    </row>
    <row r="1646" spans="1:6" s="56" customFormat="1" x14ac:dyDescent="0.35">
      <c r="A1646" s="111"/>
      <c r="B1646" s="112"/>
      <c r="C1646" s="111"/>
      <c r="F1646" s="111"/>
    </row>
    <row r="1647" spans="1:6" s="56" customFormat="1" x14ac:dyDescent="0.35">
      <c r="A1647" s="111"/>
      <c r="B1647" s="112"/>
      <c r="C1647" s="111"/>
      <c r="F1647" s="111"/>
    </row>
    <row r="1648" spans="1:6" s="56" customFormat="1" x14ac:dyDescent="0.35">
      <c r="A1648" s="111"/>
      <c r="B1648" s="112"/>
      <c r="C1648" s="111"/>
      <c r="F1648" s="111"/>
    </row>
    <row r="1649" spans="1:6" s="56" customFormat="1" x14ac:dyDescent="0.35">
      <c r="A1649" s="111"/>
      <c r="B1649" s="112"/>
      <c r="C1649" s="111"/>
      <c r="F1649" s="111"/>
    </row>
    <row r="1650" spans="1:6" s="56" customFormat="1" x14ac:dyDescent="0.35">
      <c r="A1650" s="111"/>
      <c r="B1650" s="112"/>
      <c r="C1650" s="111"/>
      <c r="F1650" s="111"/>
    </row>
    <row r="1651" spans="1:6" s="56" customFormat="1" x14ac:dyDescent="0.35">
      <c r="A1651" s="111"/>
      <c r="B1651" s="112"/>
      <c r="C1651" s="111"/>
      <c r="F1651" s="111"/>
    </row>
    <row r="1652" spans="1:6" s="56" customFormat="1" x14ac:dyDescent="0.35">
      <c r="A1652" s="111"/>
      <c r="B1652" s="112"/>
      <c r="C1652" s="111"/>
      <c r="F1652" s="111"/>
    </row>
    <row r="1653" spans="1:6" s="56" customFormat="1" x14ac:dyDescent="0.35">
      <c r="A1653" s="111"/>
      <c r="B1653" s="112"/>
      <c r="C1653" s="111"/>
      <c r="F1653" s="111"/>
    </row>
    <row r="1654" spans="1:6" s="56" customFormat="1" x14ac:dyDescent="0.35">
      <c r="A1654" s="111"/>
      <c r="B1654" s="112"/>
      <c r="C1654" s="111"/>
      <c r="F1654" s="111"/>
    </row>
    <row r="1655" spans="1:6" s="56" customFormat="1" x14ac:dyDescent="0.35">
      <c r="A1655" s="111"/>
      <c r="B1655" s="112"/>
      <c r="C1655" s="111"/>
      <c r="F1655" s="111"/>
    </row>
    <row r="1656" spans="1:6" s="56" customFormat="1" x14ac:dyDescent="0.35">
      <c r="A1656" s="111"/>
      <c r="B1656" s="112"/>
      <c r="C1656" s="111"/>
      <c r="F1656" s="111"/>
    </row>
    <row r="1657" spans="1:6" s="56" customFormat="1" x14ac:dyDescent="0.35">
      <c r="A1657" s="111"/>
      <c r="B1657" s="112"/>
      <c r="C1657" s="111"/>
      <c r="F1657" s="111"/>
    </row>
    <row r="1658" spans="1:6" s="56" customFormat="1" x14ac:dyDescent="0.35">
      <c r="A1658" s="111"/>
      <c r="B1658" s="112"/>
      <c r="C1658" s="111"/>
      <c r="F1658" s="111"/>
    </row>
    <row r="1659" spans="1:6" s="56" customFormat="1" x14ac:dyDescent="0.35">
      <c r="A1659" s="111"/>
      <c r="B1659" s="112"/>
      <c r="C1659" s="111"/>
      <c r="F1659" s="111"/>
    </row>
    <row r="1660" spans="1:6" s="56" customFormat="1" x14ac:dyDescent="0.35">
      <c r="A1660" s="111"/>
      <c r="B1660" s="112"/>
      <c r="C1660" s="111"/>
      <c r="F1660" s="111"/>
    </row>
    <row r="1661" spans="1:6" s="56" customFormat="1" x14ac:dyDescent="0.35">
      <c r="A1661" s="111"/>
      <c r="B1661" s="112"/>
      <c r="C1661" s="111"/>
      <c r="F1661" s="111"/>
    </row>
    <row r="1662" spans="1:6" s="56" customFormat="1" x14ac:dyDescent="0.35">
      <c r="A1662" s="111"/>
      <c r="B1662" s="112"/>
      <c r="C1662" s="111"/>
      <c r="F1662" s="111"/>
    </row>
    <row r="1663" spans="1:6" s="56" customFormat="1" x14ac:dyDescent="0.35">
      <c r="A1663" s="111"/>
      <c r="B1663" s="112"/>
      <c r="C1663" s="111"/>
      <c r="F1663" s="111"/>
    </row>
    <row r="1664" spans="1:6" s="56" customFormat="1" x14ac:dyDescent="0.35">
      <c r="A1664" s="111"/>
      <c r="B1664" s="112"/>
      <c r="C1664" s="111"/>
      <c r="F1664" s="111"/>
    </row>
    <row r="1665" spans="1:6" s="56" customFormat="1" x14ac:dyDescent="0.35">
      <c r="A1665" s="111"/>
      <c r="B1665" s="112"/>
      <c r="C1665" s="111"/>
      <c r="F1665" s="111"/>
    </row>
    <row r="1666" spans="1:6" s="56" customFormat="1" x14ac:dyDescent="0.35">
      <c r="A1666" s="111"/>
      <c r="B1666" s="112"/>
      <c r="C1666" s="111"/>
      <c r="F1666" s="111"/>
    </row>
    <row r="1667" spans="1:6" s="56" customFormat="1" x14ac:dyDescent="0.35">
      <c r="A1667" s="111"/>
      <c r="B1667" s="112"/>
      <c r="C1667" s="111"/>
      <c r="F1667" s="111"/>
    </row>
    <row r="1668" spans="1:6" s="56" customFormat="1" x14ac:dyDescent="0.35">
      <c r="A1668" s="111"/>
      <c r="B1668" s="112"/>
      <c r="C1668" s="111"/>
      <c r="F1668" s="111"/>
    </row>
    <row r="1669" spans="1:6" s="56" customFormat="1" x14ac:dyDescent="0.35">
      <c r="A1669" s="111"/>
      <c r="B1669" s="112"/>
      <c r="C1669" s="111"/>
      <c r="F1669" s="111"/>
    </row>
    <row r="1670" spans="1:6" s="56" customFormat="1" x14ac:dyDescent="0.35">
      <c r="A1670" s="111"/>
      <c r="B1670" s="112"/>
      <c r="C1670" s="111"/>
      <c r="F1670" s="111"/>
    </row>
    <row r="1671" spans="1:6" s="56" customFormat="1" x14ac:dyDescent="0.35">
      <c r="A1671" s="111"/>
      <c r="B1671" s="112"/>
      <c r="C1671" s="111"/>
      <c r="F1671" s="111"/>
    </row>
    <row r="1672" spans="1:6" s="56" customFormat="1" x14ac:dyDescent="0.35">
      <c r="A1672" s="111"/>
      <c r="B1672" s="112"/>
      <c r="C1672" s="111"/>
      <c r="F1672" s="111"/>
    </row>
    <row r="1673" spans="1:6" s="56" customFormat="1" x14ac:dyDescent="0.35">
      <c r="A1673" s="111"/>
      <c r="B1673" s="112"/>
      <c r="C1673" s="111"/>
      <c r="F1673" s="111"/>
    </row>
    <row r="1674" spans="1:6" s="56" customFormat="1" x14ac:dyDescent="0.35">
      <c r="A1674" s="111"/>
      <c r="B1674" s="112"/>
      <c r="C1674" s="111"/>
      <c r="F1674" s="111"/>
    </row>
    <row r="1675" spans="1:6" s="56" customFormat="1" x14ac:dyDescent="0.35">
      <c r="A1675" s="111"/>
      <c r="B1675" s="112"/>
      <c r="C1675" s="111"/>
      <c r="F1675" s="111"/>
    </row>
    <row r="1676" spans="1:6" s="56" customFormat="1" x14ac:dyDescent="0.35">
      <c r="A1676" s="111"/>
      <c r="B1676" s="112"/>
      <c r="C1676" s="111"/>
      <c r="F1676" s="111"/>
    </row>
    <row r="1677" spans="1:6" s="56" customFormat="1" x14ac:dyDescent="0.35">
      <c r="A1677" s="111"/>
      <c r="B1677" s="112"/>
      <c r="C1677" s="111"/>
      <c r="F1677" s="111"/>
    </row>
    <row r="1678" spans="1:6" s="56" customFormat="1" x14ac:dyDescent="0.35">
      <c r="A1678" s="111"/>
      <c r="B1678" s="112"/>
      <c r="C1678" s="111"/>
      <c r="F1678" s="111"/>
    </row>
  </sheetData>
  <mergeCells count="106">
    <mergeCell ref="F110:K110"/>
    <mergeCell ref="F111:K111"/>
    <mergeCell ref="F112:K112"/>
    <mergeCell ref="F113:K113"/>
    <mergeCell ref="F114:K114"/>
    <mergeCell ref="F115:K115"/>
    <mergeCell ref="F104:K104"/>
    <mergeCell ref="F105:K105"/>
    <mergeCell ref="F106:K106"/>
    <mergeCell ref="F107:K107"/>
    <mergeCell ref="F108:K108"/>
    <mergeCell ref="F109:K109"/>
    <mergeCell ref="F98:K98"/>
    <mergeCell ref="F99:K99"/>
    <mergeCell ref="F100:K100"/>
    <mergeCell ref="F101:K101"/>
    <mergeCell ref="F102:K102"/>
    <mergeCell ref="F103:K103"/>
    <mergeCell ref="F92:K92"/>
    <mergeCell ref="F93:K93"/>
    <mergeCell ref="F94:K94"/>
    <mergeCell ref="F95:K95"/>
    <mergeCell ref="F96:K96"/>
    <mergeCell ref="F97:K97"/>
    <mergeCell ref="F86:K86"/>
    <mergeCell ref="F87:K87"/>
    <mergeCell ref="F88:K88"/>
    <mergeCell ref="F89:K89"/>
    <mergeCell ref="F90:K90"/>
    <mergeCell ref="F91:K91"/>
    <mergeCell ref="F80:K80"/>
    <mergeCell ref="F81:K81"/>
    <mergeCell ref="F82:K82"/>
    <mergeCell ref="F83:K83"/>
    <mergeCell ref="F84:K84"/>
    <mergeCell ref="F85:K85"/>
    <mergeCell ref="F74:K74"/>
    <mergeCell ref="F75:K75"/>
    <mergeCell ref="F76:K76"/>
    <mergeCell ref="F77:K77"/>
    <mergeCell ref="F78:K78"/>
    <mergeCell ref="F79:K79"/>
    <mergeCell ref="F68:K68"/>
    <mergeCell ref="F69:K69"/>
    <mergeCell ref="F70:K70"/>
    <mergeCell ref="F71:K71"/>
    <mergeCell ref="F72:K72"/>
    <mergeCell ref="F73:K73"/>
    <mergeCell ref="F62:K62"/>
    <mergeCell ref="F63:K63"/>
    <mergeCell ref="F64:K64"/>
    <mergeCell ref="F65:K65"/>
    <mergeCell ref="F66:K66"/>
    <mergeCell ref="F67:K67"/>
    <mergeCell ref="F56:K56"/>
    <mergeCell ref="F57:K57"/>
    <mergeCell ref="F58:K58"/>
    <mergeCell ref="F59:K59"/>
    <mergeCell ref="F60:K60"/>
    <mergeCell ref="F61:K61"/>
    <mergeCell ref="F50:K50"/>
    <mergeCell ref="F51:K51"/>
    <mergeCell ref="F52:K52"/>
    <mergeCell ref="F53:K53"/>
    <mergeCell ref="F54:K54"/>
    <mergeCell ref="F55:K55"/>
    <mergeCell ref="F44:K44"/>
    <mergeCell ref="F45:K45"/>
    <mergeCell ref="F46:K46"/>
    <mergeCell ref="F47:K47"/>
    <mergeCell ref="F48:K48"/>
    <mergeCell ref="F49:K49"/>
    <mergeCell ref="F38:K38"/>
    <mergeCell ref="F39:K39"/>
    <mergeCell ref="F40:K40"/>
    <mergeCell ref="F41:K41"/>
    <mergeCell ref="F42:K42"/>
    <mergeCell ref="F43:K43"/>
    <mergeCell ref="F32:K32"/>
    <mergeCell ref="F33:K33"/>
    <mergeCell ref="F34:K34"/>
    <mergeCell ref="F35:K35"/>
    <mergeCell ref="F36:K36"/>
    <mergeCell ref="F37:K37"/>
    <mergeCell ref="F26:K26"/>
    <mergeCell ref="F27:K27"/>
    <mergeCell ref="F28:K28"/>
    <mergeCell ref="F29:K29"/>
    <mergeCell ref="F30:K30"/>
    <mergeCell ref="F31:K31"/>
    <mergeCell ref="F19:K19"/>
    <mergeCell ref="L19:L26"/>
    <mergeCell ref="M19:M26"/>
    <mergeCell ref="N19:N26"/>
    <mergeCell ref="F20:K20"/>
    <mergeCell ref="F21:K21"/>
    <mergeCell ref="F22:K22"/>
    <mergeCell ref="F23:K23"/>
    <mergeCell ref="F24:K24"/>
    <mergeCell ref="F25:K25"/>
    <mergeCell ref="A1:J5"/>
    <mergeCell ref="A6:I6"/>
    <mergeCell ref="A7:A16"/>
    <mergeCell ref="D7:D16"/>
    <mergeCell ref="A17:I17"/>
    <mergeCell ref="F18:K18"/>
  </mergeCells>
  <conditionalFormatting sqref="A1">
    <cfRule type="iconSet" priority="1">
      <iconSet iconSet="3Arrows">
        <cfvo type="percent" val="0"/>
        <cfvo type="percent" val="33"/>
        <cfvo type="percent" val="67"/>
      </iconSet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36" fitToHeight="0" orientation="portrait" r:id="rId1"/>
  <rowBreaks count="2" manualBreakCount="2">
    <brk id="65" max="9" man="1"/>
    <brk id="115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3"/>
  <sheetViews>
    <sheetView tabSelected="1" zoomScale="63" zoomScaleNormal="7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33" sqref="B33"/>
    </sheetView>
  </sheetViews>
  <sheetFormatPr defaultColWidth="9.1796875" defaultRowHeight="14" x14ac:dyDescent="0.3"/>
  <cols>
    <col min="1" max="1" width="4.81640625" style="11" customWidth="1"/>
    <col min="2" max="2" width="101.1796875" style="6" customWidth="1"/>
    <col min="3" max="3" width="23.7265625" style="6" bestFit="1" customWidth="1"/>
    <col min="4" max="4" width="6.7265625" style="12" bestFit="1" customWidth="1"/>
    <col min="5" max="5" width="21.7265625" style="6" customWidth="1"/>
    <col min="6" max="6" width="21.26953125" style="6" customWidth="1"/>
    <col min="7" max="7" width="23.26953125" style="6" customWidth="1"/>
    <col min="8" max="9" width="24" style="6" bestFit="1" customWidth="1"/>
    <col min="10" max="10" width="25.453125" style="6" bestFit="1" customWidth="1"/>
    <col min="11" max="11" width="24" style="6" bestFit="1" customWidth="1"/>
    <col min="12" max="12" width="30" style="6" bestFit="1" customWidth="1"/>
    <col min="13" max="13" width="23.1796875" style="6" customWidth="1"/>
    <col min="14" max="16" width="24" style="6" bestFit="1" customWidth="1"/>
    <col min="17" max="17" width="21.453125" style="6" customWidth="1"/>
    <col min="18" max="18" width="19.453125" style="6" bestFit="1" customWidth="1"/>
    <col min="19" max="19" width="21.453125" style="6" bestFit="1" customWidth="1"/>
    <col min="20" max="20" width="22.1796875" style="6" customWidth="1"/>
    <col min="21" max="21" width="19.54296875" style="6" bestFit="1" customWidth="1"/>
    <col min="22" max="22" width="24.54296875" style="6" bestFit="1" customWidth="1"/>
    <col min="23" max="23" width="20.81640625" style="6" bestFit="1" customWidth="1"/>
    <col min="24" max="26" width="19.54296875" style="6" bestFit="1" customWidth="1"/>
    <col min="27" max="27" width="30" style="6" bestFit="1" customWidth="1"/>
    <col min="28" max="28" width="27.26953125" style="6" bestFit="1" customWidth="1"/>
    <col min="29" max="29" width="30" style="6" bestFit="1" customWidth="1"/>
    <col min="30" max="30" width="21.1796875" style="6" customWidth="1"/>
    <col min="31" max="31" width="15" style="6" bestFit="1" customWidth="1"/>
    <col min="32" max="32" width="17.7265625" style="6" bestFit="1" customWidth="1"/>
    <col min="33" max="33" width="19.26953125" style="6" customWidth="1"/>
    <col min="34" max="34" width="19.54296875" style="6" bestFit="1" customWidth="1"/>
    <col min="35" max="35" width="16.81640625" style="6" bestFit="1" customWidth="1"/>
    <col min="36" max="36" width="20.26953125" style="6" customWidth="1"/>
    <col min="37" max="37" width="22.1796875" style="6" customWidth="1"/>
    <col min="38" max="38" width="24.54296875" style="6" bestFit="1" customWidth="1"/>
    <col min="39" max="39" width="18.1796875" style="6" customWidth="1"/>
    <col min="40" max="40" width="20.26953125" style="6" customWidth="1"/>
    <col min="41" max="41" width="20.1796875" style="6" customWidth="1"/>
    <col min="42" max="42" width="21.54296875" style="6" customWidth="1"/>
    <col min="43" max="43" width="30" style="6" bestFit="1" customWidth="1"/>
    <col min="44" max="44" width="24.54296875" style="6" bestFit="1" customWidth="1"/>
    <col min="45" max="45" width="27.54296875" style="6" bestFit="1" customWidth="1"/>
    <col min="46" max="46" width="16.1796875" style="6" bestFit="1" customWidth="1"/>
    <col min="47" max="47" width="20" style="6" customWidth="1"/>
    <col min="48" max="48" width="27.54296875" style="6" bestFit="1" customWidth="1"/>
    <col min="49" max="49" width="17.81640625" style="6" customWidth="1"/>
    <col min="50" max="50" width="16.1796875" style="6" bestFit="1" customWidth="1"/>
    <col min="51" max="51" width="14.26953125" style="6" customWidth="1"/>
    <col min="52" max="52" width="21.1796875" style="6" customWidth="1"/>
    <col min="53" max="53" width="27" style="6" bestFit="1" customWidth="1"/>
    <col min="54" max="54" width="21.81640625" style="6" customWidth="1"/>
    <col min="55" max="55" width="21.1796875" style="6" customWidth="1"/>
    <col min="56" max="56" width="16.1796875" style="6" bestFit="1" customWidth="1"/>
    <col min="57" max="57" width="20.7265625" style="6" customWidth="1"/>
    <col min="58" max="58" width="21.1796875" style="6" customWidth="1"/>
    <col min="59" max="59" width="15.7265625" style="6" customWidth="1"/>
    <col min="60" max="60" width="12.26953125" style="6" bestFit="1" customWidth="1"/>
    <col min="61" max="61" width="12.54296875" style="6" customWidth="1"/>
    <col min="62" max="62" width="16.453125" style="6" customWidth="1"/>
    <col min="63" max="63" width="27" style="6" bestFit="1" customWidth="1"/>
    <col min="64" max="64" width="19.1796875" style="6" customWidth="1"/>
    <col min="65" max="65" width="17" style="6" customWidth="1"/>
    <col min="66" max="66" width="15" style="6" customWidth="1"/>
    <col min="67" max="68" width="14.453125" style="6" customWidth="1"/>
    <col min="69" max="69" width="11.54296875" style="6" bestFit="1" customWidth="1"/>
    <col min="70" max="70" width="14.81640625" style="6" customWidth="1"/>
    <col min="71" max="71" width="16.453125" style="6" customWidth="1"/>
    <col min="72" max="72" width="12.453125" style="6" bestFit="1" customWidth="1"/>
    <col min="73" max="73" width="20.1796875" style="6" customWidth="1"/>
    <col min="74" max="74" width="15.1796875" style="6" customWidth="1"/>
    <col min="75" max="76" width="27.54296875" style="6" bestFit="1" customWidth="1"/>
    <col min="77" max="77" width="20.54296875" style="6" customWidth="1"/>
    <col min="78" max="78" width="11" style="6" bestFit="1" customWidth="1"/>
    <col min="79" max="79" width="16.1796875" style="6" customWidth="1"/>
    <col min="80" max="80" width="18.81640625" style="6" customWidth="1"/>
    <col min="81" max="81" width="14.26953125" style="6" customWidth="1"/>
    <col min="82" max="83" width="9.1796875" style="6"/>
    <col min="84" max="84" width="12.453125" style="6" customWidth="1"/>
    <col min="85" max="85" width="12.453125" style="6" bestFit="1" customWidth="1"/>
    <col min="86" max="86" width="11.54296875" style="6" customWidth="1"/>
    <col min="87" max="88" width="14" style="6" customWidth="1"/>
    <col min="89" max="89" width="12.453125" style="6" customWidth="1"/>
    <col min="90" max="90" width="12.1796875" style="6" customWidth="1"/>
    <col min="91" max="92" width="9.1796875" style="6"/>
    <col min="93" max="93" width="11.1796875" style="6" customWidth="1"/>
    <col min="94" max="16384" width="9.1796875" style="6"/>
  </cols>
  <sheetData>
    <row r="1" spans="1:112" s="2" customFormat="1" ht="30.75" customHeight="1" x14ac:dyDescent="0.3">
      <c r="A1" s="14"/>
      <c r="B1" s="1" t="s">
        <v>10</v>
      </c>
      <c r="C1" s="1" t="s">
        <v>12</v>
      </c>
      <c r="D1" s="1" t="s">
        <v>13</v>
      </c>
      <c r="E1" s="27" t="s">
        <v>11</v>
      </c>
      <c r="F1" s="27"/>
      <c r="G1" s="27"/>
      <c r="H1" s="27"/>
      <c r="I1" s="27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</row>
    <row r="2" spans="1:112" ht="15" x14ac:dyDescent="0.3">
      <c r="A2" s="15" t="s">
        <v>19</v>
      </c>
      <c r="B2" s="17" t="s">
        <v>2</v>
      </c>
      <c r="C2" s="3"/>
      <c r="D2" s="4"/>
      <c r="E2" s="5"/>
      <c r="F2" s="5"/>
      <c r="G2" s="5"/>
      <c r="H2" s="5"/>
      <c r="I2" s="20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</row>
    <row r="3" spans="1:112" ht="28" x14ac:dyDescent="0.3">
      <c r="A3" s="15">
        <v>1</v>
      </c>
      <c r="B3" s="115" t="s">
        <v>20</v>
      </c>
      <c r="C3" s="7">
        <f ca="1">COUNTA(E3:BB3)</f>
        <v>1</v>
      </c>
      <c r="D3" s="8">
        <f ca="1">C3/113</f>
        <v>8.8495575221238937E-3</v>
      </c>
      <c r="E3" s="18"/>
      <c r="F3" s="18"/>
      <c r="G3" s="18"/>
      <c r="H3" s="18"/>
      <c r="I3" s="18" cm="1">
        <f t="array" aca="1" ref="I3" ca="1">I3:S28</f>
        <v>0</v>
      </c>
      <c r="J3" s="18"/>
      <c r="K3" s="18"/>
      <c r="L3" s="18"/>
      <c r="M3" s="18"/>
      <c r="N3" s="18"/>
      <c r="O3" s="18"/>
      <c r="P3" s="18"/>
      <c r="Q3" s="18"/>
      <c r="R3" s="18"/>
      <c r="S3" s="21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6"/>
      <c r="AZ3" s="18"/>
      <c r="BA3" s="18"/>
      <c r="BB3" s="16"/>
      <c r="BC3" s="16"/>
      <c r="BD3" s="18"/>
      <c r="BE3" s="18"/>
      <c r="BF3" s="16"/>
      <c r="BG3" s="18"/>
      <c r="BH3" s="16"/>
      <c r="BI3" s="16"/>
      <c r="BJ3" s="16"/>
      <c r="BK3" s="16"/>
      <c r="BL3" s="25"/>
      <c r="BM3" s="2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spans="1:112" x14ac:dyDescent="0.3">
      <c r="A4" s="15">
        <v>2</v>
      </c>
      <c r="B4" s="117" t="s">
        <v>33</v>
      </c>
      <c r="C4" s="7">
        <f>COUNTA(E4:BE4)</f>
        <v>0</v>
      </c>
      <c r="D4" s="8">
        <f t="shared" ref="D4:D10" si="0">C4/81</f>
        <v>0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21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6"/>
      <c r="AV4" s="18"/>
      <c r="AW4" s="18"/>
      <c r="AX4" s="18"/>
      <c r="AY4" s="16"/>
      <c r="AZ4" s="18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</row>
    <row r="5" spans="1:112" ht="15" x14ac:dyDescent="0.3">
      <c r="A5" s="15"/>
      <c r="B5" s="17" t="s">
        <v>1</v>
      </c>
      <c r="C5" s="3"/>
      <c r="D5" s="4"/>
      <c r="E5" s="19"/>
      <c r="F5" s="5"/>
      <c r="G5" s="5"/>
      <c r="H5" s="5"/>
      <c r="I5" s="2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20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</row>
    <row r="6" spans="1:112" x14ac:dyDescent="0.3">
      <c r="A6" s="15">
        <v>1</v>
      </c>
      <c r="B6" s="116" t="s">
        <v>29</v>
      </c>
      <c r="C6" s="7">
        <f>COUNTA(E6:BL6)</f>
        <v>0</v>
      </c>
      <c r="D6" s="8">
        <f>C6/113</f>
        <v>0</v>
      </c>
      <c r="E6" s="18"/>
      <c r="F6" s="18"/>
      <c r="G6" s="18"/>
      <c r="H6" s="18"/>
      <c r="I6" s="18"/>
      <c r="J6" s="18"/>
      <c r="K6" s="18"/>
      <c r="L6" s="18"/>
      <c r="M6" s="18"/>
      <c r="N6" s="21"/>
      <c r="O6" s="21"/>
      <c r="P6" s="18"/>
      <c r="Q6" s="18"/>
      <c r="R6" s="18"/>
      <c r="S6" s="21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6"/>
      <c r="AK6" s="18"/>
      <c r="AL6" s="18"/>
      <c r="AM6" s="18"/>
      <c r="AN6" s="18"/>
      <c r="AO6" s="18"/>
      <c r="AP6" s="18"/>
      <c r="AQ6" s="18"/>
      <c r="AR6" s="18"/>
      <c r="AS6" s="16"/>
      <c r="AT6" s="18"/>
      <c r="AU6" s="18"/>
      <c r="AV6" s="16"/>
      <c r="AW6" s="18"/>
      <c r="AX6" s="16"/>
      <c r="AY6" s="18"/>
      <c r="AZ6" s="18"/>
      <c r="BA6" s="18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</row>
    <row r="7" spans="1:112" x14ac:dyDescent="0.3">
      <c r="A7" s="15">
        <v>2</v>
      </c>
      <c r="B7" s="121" t="s">
        <v>6</v>
      </c>
      <c r="C7" s="7">
        <f>COUNTA(E7:AD7)</f>
        <v>0</v>
      </c>
      <c r="D7" s="8">
        <f>C7/113</f>
        <v>0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22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</row>
    <row r="8" spans="1:112" ht="15" x14ac:dyDescent="0.3">
      <c r="A8" s="15" t="s">
        <v>19</v>
      </c>
      <c r="B8" s="17" t="s">
        <v>0</v>
      </c>
      <c r="C8" s="3"/>
      <c r="D8" s="4"/>
      <c r="E8" s="19"/>
      <c r="F8" s="5"/>
      <c r="G8" s="5"/>
      <c r="H8" s="5"/>
      <c r="I8" s="20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20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</row>
    <row r="9" spans="1:112" x14ac:dyDescent="0.3">
      <c r="A9" s="15">
        <v>1</v>
      </c>
      <c r="B9" s="123" t="s">
        <v>30</v>
      </c>
      <c r="C9" s="7">
        <f>COUNTA(E9:AK9)</f>
        <v>0</v>
      </c>
      <c r="D9" s="8">
        <f>C9/113</f>
        <v>0</v>
      </c>
      <c r="E9" s="18"/>
      <c r="F9" s="18"/>
      <c r="G9" s="18"/>
      <c r="H9" s="18"/>
      <c r="I9" s="21"/>
      <c r="J9" s="18"/>
      <c r="K9" s="18"/>
      <c r="L9" s="18"/>
      <c r="M9" s="18"/>
      <c r="N9" s="18"/>
      <c r="O9" s="18"/>
      <c r="P9" s="18"/>
      <c r="Q9" s="21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6"/>
      <c r="AH9" s="18"/>
      <c r="AI9" s="18"/>
      <c r="AJ9" s="16"/>
      <c r="AK9" s="16"/>
      <c r="AL9" s="18"/>
      <c r="AM9" s="18"/>
      <c r="AN9" s="18"/>
      <c r="AO9" s="18"/>
      <c r="AP9" s="18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</row>
    <row r="10" spans="1:112" x14ac:dyDescent="0.3">
      <c r="A10" s="15">
        <v>2</v>
      </c>
      <c r="B10" s="125" t="s">
        <v>24</v>
      </c>
      <c r="C10" s="7">
        <f>COUNTA(E10:AD10)</f>
        <v>0</v>
      </c>
      <c r="D10" s="8">
        <f t="shared" si="0"/>
        <v>0</v>
      </c>
      <c r="E10" s="18"/>
      <c r="F10" s="18"/>
      <c r="G10" s="18"/>
      <c r="H10" s="18"/>
      <c r="I10" s="21"/>
      <c r="J10" s="18"/>
      <c r="K10" s="21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6"/>
      <c r="AO10" s="16"/>
      <c r="AP10" s="18"/>
      <c r="AQ10" s="18"/>
      <c r="AR10" s="18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</row>
    <row r="11" spans="1:112" ht="15" x14ac:dyDescent="0.3">
      <c r="A11" s="15" t="s">
        <v>19</v>
      </c>
      <c r="B11" s="17" t="s">
        <v>3</v>
      </c>
      <c r="C11" s="3"/>
      <c r="D11" s="4"/>
      <c r="E11" s="5"/>
      <c r="F11" s="5"/>
      <c r="G11" s="5"/>
      <c r="H11" s="5"/>
      <c r="I11" s="20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20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</row>
    <row r="12" spans="1:112" x14ac:dyDescent="0.3">
      <c r="A12" s="15">
        <v>1</v>
      </c>
      <c r="B12" s="129" t="s">
        <v>31</v>
      </c>
      <c r="C12" s="7">
        <f>COUNTA(E12:AN12)</f>
        <v>0</v>
      </c>
      <c r="D12" s="8">
        <f>C12/113</f>
        <v>0</v>
      </c>
      <c r="E12" s="18"/>
      <c r="F12" s="18"/>
      <c r="G12" s="18"/>
      <c r="H12" s="18"/>
      <c r="I12" s="18"/>
      <c r="J12" s="21"/>
      <c r="K12" s="21"/>
      <c r="L12" s="18"/>
      <c r="M12" s="18"/>
      <c r="N12" s="18"/>
      <c r="O12" s="18"/>
      <c r="P12" s="18"/>
      <c r="Q12" s="18"/>
      <c r="R12" s="21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</row>
    <row r="13" spans="1:112" x14ac:dyDescent="0.3">
      <c r="A13" s="15">
        <v>2</v>
      </c>
      <c r="B13" s="131" t="s">
        <v>28</v>
      </c>
      <c r="C13" s="7">
        <f>COUNTA(E13:AD13)</f>
        <v>0</v>
      </c>
      <c r="D13" s="8">
        <f>C13/113</f>
        <v>0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21"/>
      <c r="S13" s="18"/>
      <c r="T13" s="18"/>
      <c r="U13" s="18"/>
      <c r="V13" s="18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22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</row>
    <row r="14" spans="1:112" ht="15" x14ac:dyDescent="0.3">
      <c r="A14" s="15" t="s">
        <v>19</v>
      </c>
      <c r="B14" s="17" t="s">
        <v>18</v>
      </c>
      <c r="C14" s="3"/>
      <c r="D14" s="4"/>
      <c r="E14" s="19"/>
      <c r="F14" s="5"/>
      <c r="G14" s="5"/>
      <c r="H14" s="5"/>
      <c r="I14" s="20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20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</row>
    <row r="15" spans="1:112" x14ac:dyDescent="0.3">
      <c r="A15" s="15">
        <v>1</v>
      </c>
      <c r="B15" s="133" t="s">
        <v>32</v>
      </c>
      <c r="C15" s="7">
        <f>COUNTA(E15:CB15)</f>
        <v>0</v>
      </c>
      <c r="D15" s="8">
        <f>C15/113</f>
        <v>0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21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21"/>
      <c r="AO15" s="21"/>
      <c r="AP15" s="21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6"/>
      <c r="BM15" s="18"/>
      <c r="BN15" s="18"/>
      <c r="BO15" s="18"/>
      <c r="BP15" s="16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6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6"/>
      <c r="CN15" s="18"/>
      <c r="CO15" s="18"/>
      <c r="CP15" s="18"/>
      <c r="CQ15" s="16"/>
      <c r="CR15" s="16"/>
      <c r="CS15" s="18"/>
      <c r="CT15" s="18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</row>
    <row r="16" spans="1:112" x14ac:dyDescent="0.3">
      <c r="A16" s="15">
        <v>2</v>
      </c>
      <c r="B16" s="119" t="s">
        <v>23</v>
      </c>
      <c r="C16" s="7">
        <f>COUNTA(E16:AK16)</f>
        <v>0</v>
      </c>
      <c r="D16" s="8">
        <f>C16/113</f>
        <v>0</v>
      </c>
      <c r="E16" s="18"/>
      <c r="F16" s="18"/>
      <c r="G16" s="18"/>
      <c r="H16" s="18"/>
      <c r="I16" s="18"/>
      <c r="J16" s="18"/>
      <c r="K16" s="18"/>
      <c r="L16" s="18"/>
      <c r="M16" s="21"/>
      <c r="N16" s="18"/>
      <c r="O16" s="18"/>
      <c r="P16" s="18"/>
      <c r="Q16" s="18"/>
      <c r="R16" s="18"/>
      <c r="S16" s="18"/>
      <c r="T16" s="18"/>
      <c r="U16" s="21"/>
      <c r="V16" s="18"/>
      <c r="W16" s="18"/>
      <c r="X16" s="18"/>
      <c r="Y16" s="18"/>
      <c r="Z16" s="18"/>
      <c r="AA16" s="18"/>
      <c r="AB16" s="18"/>
      <c r="AC16" s="18"/>
      <c r="AD16" s="16"/>
      <c r="AE16" s="18"/>
      <c r="AF16" s="18"/>
      <c r="AG16" s="18"/>
      <c r="AH16" s="18"/>
      <c r="AI16" s="18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8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</row>
    <row r="17" spans="1:112" ht="28" x14ac:dyDescent="0.3">
      <c r="A17" s="15">
        <v>3</v>
      </c>
      <c r="B17" s="135" t="s">
        <v>25</v>
      </c>
      <c r="C17" s="7">
        <f>COUNTA(E17:BL17)</f>
        <v>0</v>
      </c>
      <c r="D17" s="8">
        <f>C17/113</f>
        <v>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21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6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6"/>
      <c r="BO17" s="18"/>
      <c r="BP17" s="18"/>
      <c r="BQ17" s="16"/>
      <c r="BR17" s="18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</row>
    <row r="18" spans="1:112" ht="15" x14ac:dyDescent="0.3">
      <c r="A18" s="15" t="s">
        <v>19</v>
      </c>
      <c r="B18" s="17" t="s">
        <v>4</v>
      </c>
      <c r="C18" s="3"/>
      <c r="D18" s="4"/>
      <c r="E18" s="19"/>
      <c r="F18" s="5"/>
      <c r="G18" s="5"/>
      <c r="H18" s="5"/>
      <c r="I18" s="2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20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</row>
    <row r="19" spans="1:112" x14ac:dyDescent="0.3">
      <c r="A19" s="15">
        <v>1</v>
      </c>
      <c r="B19" s="138" t="s">
        <v>17</v>
      </c>
      <c r="C19" s="7">
        <f>COUNTA(E19:BK19)</f>
        <v>0</v>
      </c>
      <c r="D19" s="8">
        <f>C19/113</f>
        <v>0</v>
      </c>
      <c r="E19" s="18"/>
      <c r="F19" s="18"/>
      <c r="G19" s="18"/>
      <c r="H19" s="18"/>
      <c r="I19" s="18"/>
      <c r="J19" s="18"/>
      <c r="K19" s="18"/>
      <c r="L19" s="18"/>
      <c r="M19" s="18"/>
      <c r="N19" s="21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21"/>
      <c r="AJ19" s="21"/>
      <c r="AK19" s="18"/>
      <c r="AL19" s="18"/>
      <c r="AM19" s="18"/>
      <c r="AN19" s="18"/>
      <c r="AO19" s="18"/>
      <c r="AP19" s="18"/>
      <c r="AQ19" s="18"/>
      <c r="AR19" s="18"/>
      <c r="AS19" s="18"/>
      <c r="AT19" s="16"/>
      <c r="AU19" s="18"/>
      <c r="AV19" s="16"/>
      <c r="AW19" s="18"/>
      <c r="AX19" s="18"/>
      <c r="AY19" s="18"/>
      <c r="AZ19" s="18"/>
      <c r="BA19" s="18"/>
      <c r="BB19" s="18"/>
      <c r="BC19" s="16"/>
      <c r="BD19" s="18"/>
      <c r="BE19" s="18"/>
      <c r="BF19" s="18"/>
      <c r="BG19" s="18"/>
      <c r="BH19" s="16"/>
      <c r="BI19" s="18"/>
      <c r="BJ19" s="18"/>
      <c r="BK19" s="18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</row>
    <row r="20" spans="1:112" ht="30" customHeight="1" x14ac:dyDescent="0.3">
      <c r="A20" s="15">
        <v>2</v>
      </c>
      <c r="B20" s="140" t="s">
        <v>26</v>
      </c>
      <c r="C20" s="7">
        <f>COUNTA(E20:CS20)</f>
        <v>0</v>
      </c>
      <c r="D20" s="8">
        <f>C20/113</f>
        <v>0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21"/>
      <c r="U20" s="18"/>
      <c r="V20" s="16"/>
      <c r="W20" s="18"/>
      <c r="X20" s="21"/>
      <c r="Y20" s="18"/>
      <c r="Z20" s="18"/>
      <c r="AA20" s="18"/>
      <c r="AB20" s="21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21"/>
      <c r="BC20" s="21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6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</row>
    <row r="21" spans="1:112" ht="15" x14ac:dyDescent="0.3">
      <c r="A21" s="15" t="s">
        <v>19</v>
      </c>
      <c r="B21" s="17" t="s">
        <v>7</v>
      </c>
      <c r="C21" s="3"/>
      <c r="D21" s="4"/>
      <c r="E21" s="19"/>
      <c r="F21" s="5"/>
      <c r="G21" s="5"/>
      <c r="H21" s="5"/>
      <c r="I21" s="2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20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</row>
    <row r="22" spans="1:112" x14ac:dyDescent="0.3">
      <c r="A22" s="15">
        <v>1</v>
      </c>
      <c r="B22" s="142" t="s">
        <v>22</v>
      </c>
      <c r="C22" s="7">
        <f>COUNTA(E22:AU22)</f>
        <v>0</v>
      </c>
      <c r="D22" s="8">
        <f>C22/113</f>
        <v>0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1"/>
      <c r="Q22" s="21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6"/>
      <c r="AM22" s="18"/>
      <c r="AN22" s="18"/>
      <c r="AO22" s="18"/>
      <c r="AP22" s="18"/>
      <c r="AQ22" s="18"/>
      <c r="AR22" s="18"/>
      <c r="AS22" s="18"/>
      <c r="AT22" s="18"/>
      <c r="AU22" s="16"/>
      <c r="AV22" s="18"/>
      <c r="AW22" s="18"/>
      <c r="AX22" s="18"/>
      <c r="AY22" s="18"/>
      <c r="AZ22" s="18"/>
      <c r="BA22" s="18"/>
      <c r="BB22" s="16"/>
      <c r="BC22" s="18"/>
      <c r="BD22" s="18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</row>
    <row r="23" spans="1:112" x14ac:dyDescent="0.3">
      <c r="A23" s="15">
        <v>2</v>
      </c>
      <c r="B23" s="144" t="s">
        <v>9</v>
      </c>
      <c r="C23" s="7">
        <f>COUNTA(E23:BI23)</f>
        <v>0</v>
      </c>
      <c r="D23" s="8">
        <f>C23/113</f>
        <v>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21"/>
      <c r="AG23" s="21"/>
      <c r="AH23" s="21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6"/>
      <c r="BJ23" s="18"/>
      <c r="BK23" s="18"/>
      <c r="BL23" s="18"/>
      <c r="BM23" s="18"/>
      <c r="BN23" s="18"/>
      <c r="BO23" s="18"/>
      <c r="BP23" s="18"/>
      <c r="BQ23" s="18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</row>
    <row r="24" spans="1:112" x14ac:dyDescent="0.3">
      <c r="A24" s="15">
        <v>3</v>
      </c>
      <c r="B24" s="142" t="s">
        <v>8</v>
      </c>
      <c r="C24" s="7">
        <f>COUNTA(E24:AD24)</f>
        <v>0</v>
      </c>
      <c r="D24" s="8">
        <f>C24/113</f>
        <v>0</v>
      </c>
      <c r="E24" s="18"/>
      <c r="F24" s="18"/>
      <c r="G24" s="18"/>
      <c r="H24" s="18"/>
      <c r="I24" s="18"/>
      <c r="J24" s="18"/>
      <c r="K24" s="1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22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</row>
    <row r="25" spans="1:112" ht="15" x14ac:dyDescent="0.3">
      <c r="A25" s="15" t="s">
        <v>19</v>
      </c>
      <c r="B25" s="17" t="s">
        <v>5</v>
      </c>
      <c r="C25" s="3"/>
      <c r="D25" s="4"/>
      <c r="E25" s="19"/>
      <c r="F25" s="5"/>
      <c r="G25" s="5"/>
      <c r="H25" s="5"/>
      <c r="I25" s="2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20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</row>
    <row r="26" spans="1:112" x14ac:dyDescent="0.3">
      <c r="A26" s="15">
        <v>1</v>
      </c>
      <c r="B26" s="128" t="s">
        <v>21</v>
      </c>
      <c r="C26" s="7">
        <f>COUNTA(E26:AD26)</f>
        <v>0</v>
      </c>
      <c r="D26" s="8">
        <f>C26/113</f>
        <v>0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6"/>
      <c r="Y26" s="9"/>
      <c r="Z26" s="9"/>
      <c r="AA26" s="13"/>
      <c r="AB26" s="9"/>
      <c r="AC26" s="9"/>
      <c r="AD26" s="9"/>
      <c r="AE26" s="9"/>
      <c r="AF26" s="9"/>
      <c r="AG26" s="9"/>
      <c r="AH26" s="9"/>
      <c r="AI26" s="22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</row>
    <row r="27" spans="1:112" x14ac:dyDescent="0.3">
      <c r="A27" s="15">
        <v>2</v>
      </c>
      <c r="B27" s="131" t="s">
        <v>27</v>
      </c>
      <c r="C27" s="7">
        <f>COUNTA(E27:BG27)</f>
        <v>0</v>
      </c>
      <c r="D27" s="8">
        <f>C27/113</f>
        <v>0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21"/>
      <c r="AB27" s="21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6"/>
      <c r="AW27" s="16"/>
      <c r="AX27" s="18"/>
      <c r="AY27" s="16"/>
      <c r="AZ27" s="18"/>
      <c r="BA27" s="16"/>
      <c r="BB27" s="16"/>
      <c r="BC27" s="18"/>
      <c r="BD27" s="16"/>
      <c r="BE27" s="18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</row>
    <row r="28" spans="1:112" x14ac:dyDescent="0.3">
      <c r="A28" s="15">
        <v>3</v>
      </c>
      <c r="B28" s="147" t="s">
        <v>16</v>
      </c>
      <c r="C28" s="7">
        <f>COUNTA(E28:BF28)</f>
        <v>0</v>
      </c>
      <c r="D28" s="8">
        <f>C28/113</f>
        <v>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1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6"/>
      <c r="AP28" s="16"/>
      <c r="AQ28" s="18"/>
      <c r="AR28" s="18"/>
      <c r="AS28" s="18"/>
      <c r="AT28" s="18"/>
      <c r="AU28" s="18"/>
      <c r="AV28" s="18"/>
      <c r="AW28" s="16"/>
      <c r="AX28" s="16"/>
      <c r="AY28" s="16"/>
      <c r="AZ28" s="16"/>
      <c r="BA28" s="18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</row>
    <row r="29" spans="1:112" ht="28" x14ac:dyDescent="0.3">
      <c r="A29" s="15">
        <v>4</v>
      </c>
      <c r="B29" s="148" t="s">
        <v>36</v>
      </c>
      <c r="C29" s="7">
        <f>COUNTA(E29:BZ29)</f>
        <v>0</v>
      </c>
      <c r="D29" s="8">
        <f>C29/113</f>
        <v>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21"/>
      <c r="S29" s="21"/>
      <c r="T29" s="18"/>
      <c r="U29" s="18"/>
      <c r="V29" s="18"/>
      <c r="W29" s="18"/>
      <c r="X29" s="18"/>
      <c r="Y29" s="18"/>
      <c r="Z29" s="21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21"/>
      <c r="AW29" s="18"/>
      <c r="AX29" s="18"/>
      <c r="AY29" s="18"/>
      <c r="AZ29" s="18"/>
      <c r="BA29" s="18"/>
      <c r="BB29" s="18"/>
      <c r="BC29" s="18"/>
      <c r="BD29" s="18"/>
      <c r="BE29" s="18"/>
      <c r="BF29" s="16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6"/>
      <c r="BZ29" s="16"/>
      <c r="CA29" s="18"/>
      <c r="CB29" s="18"/>
      <c r="CC29" s="18"/>
      <c r="CD29" s="18"/>
      <c r="CE29" s="18"/>
      <c r="CF29" s="18"/>
      <c r="CG29" s="18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</row>
    <row r="30" spans="1:112" x14ac:dyDescent="0.3">
      <c r="A30" s="15">
        <v>5</v>
      </c>
      <c r="B30" s="151" t="s">
        <v>35</v>
      </c>
      <c r="C30" s="7">
        <f>COUNTA(E30:BZ30)</f>
        <v>0</v>
      </c>
      <c r="D30" s="8">
        <f>C30/113</f>
        <v>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21"/>
      <c r="S30" s="21"/>
      <c r="T30" s="18"/>
      <c r="U30" s="18"/>
      <c r="V30" s="18"/>
      <c r="W30" s="18"/>
      <c r="X30" s="18"/>
      <c r="Y30" s="18"/>
      <c r="Z30" s="21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21"/>
      <c r="AW30" s="18"/>
      <c r="AX30" s="18"/>
      <c r="AY30" s="18"/>
      <c r="AZ30" s="18"/>
      <c r="BA30" s="18"/>
      <c r="BB30" s="18"/>
      <c r="BC30" s="18"/>
      <c r="BD30" s="18"/>
      <c r="BE30" s="18"/>
      <c r="BF30" s="16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6"/>
      <c r="BZ30" s="16"/>
      <c r="CA30" s="18"/>
      <c r="CB30" s="18"/>
      <c r="CC30" s="18"/>
      <c r="CD30" s="18"/>
      <c r="CE30" s="18"/>
      <c r="CF30" s="18"/>
      <c r="CG30" s="18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</row>
    <row r="31" spans="1:112" ht="15" x14ac:dyDescent="0.3">
      <c r="A31" s="15" t="s">
        <v>19</v>
      </c>
      <c r="B31" s="17" t="s">
        <v>14</v>
      </c>
      <c r="C31" s="3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</row>
    <row r="32" spans="1:112" x14ac:dyDescent="0.3">
      <c r="A32" s="15">
        <v>1</v>
      </c>
      <c r="B32" s="153" t="s">
        <v>15</v>
      </c>
      <c r="C32" s="7">
        <f>COUNTA(E32:BB32)</f>
        <v>0</v>
      </c>
      <c r="D32" s="8">
        <f>C32/113</f>
        <v>0</v>
      </c>
      <c r="E32" s="18"/>
      <c r="F32" s="18"/>
      <c r="G32" s="18"/>
      <c r="H32" s="18"/>
      <c r="I32" s="18"/>
      <c r="J32" s="16"/>
      <c r="K32" s="18"/>
      <c r="L32" s="18"/>
      <c r="M32" s="18"/>
      <c r="N32" s="18"/>
      <c r="O32" s="18"/>
      <c r="P32" s="21"/>
      <c r="Q32" s="21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21"/>
      <c r="AD32" s="18"/>
      <c r="AE32" s="21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6"/>
      <c r="AX32" s="18"/>
      <c r="AY32" s="16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6"/>
      <c r="BM32" s="16"/>
      <c r="BN32" s="18"/>
      <c r="BO32" s="16"/>
      <c r="BP32" s="16"/>
      <c r="BQ32" s="18"/>
      <c r="BR32" s="18"/>
      <c r="BS32" s="18"/>
      <c r="BT32" s="18"/>
      <c r="BU32" s="18"/>
      <c r="BV32" s="16"/>
      <c r="BW32" s="18"/>
      <c r="BX32" s="18"/>
      <c r="BY32" s="18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</row>
    <row r="33" spans="1:112" ht="15" x14ac:dyDescent="0.3">
      <c r="A33" s="15">
        <v>2</v>
      </c>
      <c r="B33" s="155" t="s">
        <v>34</v>
      </c>
      <c r="C33" s="7">
        <f>COUNTA(E33:AD33)</f>
        <v>0</v>
      </c>
      <c r="D33" s="8">
        <f>C33/113</f>
        <v>0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9"/>
      <c r="R33" s="9"/>
      <c r="S33" s="9"/>
      <c r="T33" s="9"/>
      <c r="U33" s="10"/>
      <c r="V33" s="9"/>
      <c r="W33" s="9"/>
      <c r="X33" s="10"/>
      <c r="Y33" s="9"/>
      <c r="Z33" s="9"/>
      <c r="AA33" s="9"/>
      <c r="AB33" s="16"/>
      <c r="AC33" s="18"/>
      <c r="AD33" s="9"/>
      <c r="AE33" s="9"/>
      <c r="AF33" s="9"/>
      <c r="AG33" s="9"/>
      <c r="AH33" s="9"/>
      <c r="AI33" s="22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</row>
  </sheetData>
  <mergeCells count="1">
    <mergeCell ref="E1:AD1"/>
  </mergeCells>
  <phoneticPr fontId="1" type="noConversion"/>
  <pageMargins left="0.7" right="0.7" top="0.75" bottom="0.75" header="0.3" footer="0.3"/>
  <pageSetup paperSize="9" scale="26" orientation="portrait" r:id="rId1"/>
  <colBreaks count="2" manualBreakCount="2">
    <brk id="13" max="1048575" man="1"/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</vt:lpstr>
      <vt:lpstr>Top Opportunities 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Bassant Ahmed</cp:lastModifiedBy>
  <dcterms:created xsi:type="dcterms:W3CDTF">2015-06-05T18:17:20Z</dcterms:created>
  <dcterms:modified xsi:type="dcterms:W3CDTF">2025-11-12T08:16:44Z</dcterms:modified>
</cp:coreProperties>
</file>